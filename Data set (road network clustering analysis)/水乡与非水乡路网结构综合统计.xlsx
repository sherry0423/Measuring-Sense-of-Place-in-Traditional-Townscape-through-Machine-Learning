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各类数量与占比" sheetId="1" r:id="rId1"/>
    <sheet name="数值区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<sst xmlns="http://schemas.openxmlformats.org/spreadsheetml/2006/main" count="406" uniqueCount="258">
  <si>
    <t>水乡道路聚类分析各类占比统计</t>
  </si>
  <si>
    <t>水乡名称</t>
  </si>
  <si>
    <t>一类占比</t>
  </si>
  <si>
    <t>二类占比</t>
  </si>
  <si>
    <t>三类占比</t>
  </si>
  <si>
    <t>湖州新市古镇</t>
  </si>
  <si>
    <t>昆山周庄古镇</t>
  </si>
  <si>
    <t>青浦朱家角古镇</t>
  </si>
  <si>
    <t>绍兴安昌古镇</t>
  </si>
  <si>
    <t>苏州震泽古镇</t>
  </si>
  <si>
    <t>常州前黄镇</t>
  </si>
  <si>
    <t>湖州菱湖镇</t>
  </si>
  <si>
    <t>嘉兴王店镇</t>
  </si>
  <si>
    <t>嘉兴盐官镇</t>
  </si>
  <si>
    <t>金山吕巷镇</t>
  </si>
  <si>
    <t>南京水阳镇</t>
  </si>
  <si>
    <t>宁波附海镇</t>
  </si>
  <si>
    <t>宁波泗门镇</t>
  </si>
  <si>
    <t>青浦金泽镇</t>
  </si>
  <si>
    <t>召稼楼古镇</t>
  </si>
  <si>
    <t>水乡平均统计</t>
  </si>
  <si>
    <t>水乡中位值统计</t>
  </si>
  <si>
    <t>水乡方差统计</t>
  </si>
  <si>
    <t>非水乡道路聚类分析各类占比统计</t>
  </si>
  <si>
    <t>非水乡名称</t>
  </si>
  <si>
    <t>杭州1</t>
  </si>
  <si>
    <t>杭州2</t>
  </si>
  <si>
    <t>杭州3</t>
  </si>
  <si>
    <t>杭州4</t>
  </si>
  <si>
    <t>杭州5</t>
  </si>
  <si>
    <t>上海1</t>
  </si>
  <si>
    <t>上海2</t>
  </si>
  <si>
    <t>上海3</t>
  </si>
  <si>
    <t>上海4</t>
  </si>
  <si>
    <t>上海5</t>
  </si>
  <si>
    <t>苏州1</t>
  </si>
  <si>
    <t>苏州2</t>
  </si>
  <si>
    <t>苏州3</t>
  </si>
  <si>
    <t>苏州4</t>
  </si>
  <si>
    <t>苏州5</t>
  </si>
  <si>
    <t>非水乡平均统计</t>
  </si>
  <si>
    <t>非水乡中位值统计</t>
  </si>
  <si>
    <t>非水乡方差统计</t>
  </si>
  <si>
    <t>水乡道路聚类分析各类数值区间</t>
  </si>
  <si>
    <t>第一类</t>
  </si>
  <si>
    <t>第二类</t>
  </si>
  <si>
    <t>第三类</t>
  </si>
  <si>
    <t>较为反常</t>
  </si>
  <si>
    <t>choice</t>
  </si>
  <si>
    <t>integration</t>
  </si>
  <si>
    <t>connectivity</t>
  </si>
  <si>
    <t>0.38±0.21</t>
  </si>
  <si>
    <t>0.85±0.07</t>
  </si>
  <si>
    <t>0.59±0.22</t>
  </si>
  <si>
    <t>0.03±0.04</t>
  </si>
  <si>
    <t>0.54±0.09</t>
  </si>
  <si>
    <t>0.22±0.10</t>
  </si>
  <si>
    <t>0.01±0.01</t>
  </si>
  <si>
    <t>0.27±0.11</t>
  </si>
  <si>
    <t>0.05±0.04</t>
  </si>
  <si>
    <t>0.05±0.07</t>
  </si>
  <si>
    <t>0.35±0.07</t>
  </si>
  <si>
    <t>0.30±0.14</t>
  </si>
  <si>
    <t>0.18±0.07</t>
  </si>
  <si>
    <t>0.08±0.05</t>
  </si>
  <si>
    <t>0.04±0.06</t>
  </si>
  <si>
    <t>0.58±0.10</t>
  </si>
  <si>
    <t>0.32±0.14</t>
  </si>
  <si>
    <t>0.30±0.11</t>
  </si>
  <si>
    <t>0.79±0.21</t>
  </si>
  <si>
    <t>0.98±0.03</t>
  </si>
  <si>
    <t>0.94±0.07</t>
  </si>
  <si>
    <t>0.05±0.06</t>
  </si>
  <si>
    <t>0.60±0.09</t>
  </si>
  <si>
    <t>0.32±0.11</t>
  </si>
  <si>
    <t>0.79±0.07</t>
  </si>
  <si>
    <t>0.57±0.15</t>
  </si>
  <si>
    <t>0.32±0.18</t>
  </si>
  <si>
    <t>0.53±0.09</t>
  </si>
  <si>
    <t>0.28±0.10</t>
  </si>
  <si>
    <t>0.04±0.04</t>
  </si>
  <si>
    <t>0.25±0.13</t>
  </si>
  <si>
    <t>0.78±0.07</t>
  </si>
  <si>
    <t>0.58±0.16</t>
  </si>
  <si>
    <t>0.07±0.03</t>
  </si>
  <si>
    <t>0.55±0.08</t>
  </si>
  <si>
    <t>0.31±0.12</t>
  </si>
  <si>
    <t>0.02±0.01</t>
  </si>
  <si>
    <t>0.09±0.06</t>
  </si>
  <si>
    <t>0.43±0.23</t>
  </si>
  <si>
    <t>0.69±0.17</t>
  </si>
  <si>
    <t>0.06±0.05</t>
  </si>
  <si>
    <t>0.57±0.08</t>
  </si>
  <si>
    <t>0.29±0.12</t>
  </si>
  <si>
    <t>0.28±0.11</t>
  </si>
  <si>
    <t>0.60±0.25</t>
  </si>
  <si>
    <t>0.92±0.06</t>
  </si>
  <si>
    <t>0.75±0.14</t>
  </si>
  <si>
    <t>0.07±0.07</t>
  </si>
  <si>
    <t>0.62±0.10</t>
  </si>
  <si>
    <t>0.38±0.15</t>
  </si>
  <si>
    <t>0.08±0.06</t>
  </si>
  <si>
    <t>0.55±0.22</t>
  </si>
  <si>
    <t>0.61±0.20</t>
  </si>
  <si>
    <t>0.76±0.17</t>
  </si>
  <si>
    <t>0.34±0.07</t>
  </si>
  <si>
    <t>0.35±0.18</t>
  </si>
  <si>
    <t>0.02±0.02</t>
  </si>
  <si>
    <t>0.18±0.06</t>
  </si>
  <si>
    <t>0.11±0.06</t>
  </si>
  <si>
    <t>0.36±0.19</t>
  </si>
  <si>
    <t>0.80±0.07</t>
  </si>
  <si>
    <t>0.60±0.16</t>
  </si>
  <si>
    <t>0.04±0.03</t>
  </si>
  <si>
    <t>0.52±0.08</t>
  </si>
  <si>
    <t>0.24±0.11</t>
  </si>
  <si>
    <t>0.26±0.09</t>
  </si>
  <si>
    <t>0.02±0.05</t>
  </si>
  <si>
    <t>0.52±0.10</t>
  </si>
  <si>
    <t>0.38±0.16</t>
  </si>
  <si>
    <t>0.00±0.00</t>
  </si>
  <si>
    <t>0.06±0.06</t>
  </si>
  <si>
    <t>0.56±0.25</t>
  </si>
  <si>
    <t>0.90±0.06</t>
  </si>
  <si>
    <t>0.72±0.21</t>
  </si>
  <si>
    <t>0.02±0.03</t>
  </si>
  <si>
    <t>0.26±0.14</t>
  </si>
  <si>
    <t>0.23±0.10</t>
  </si>
  <si>
    <t>0.49±0.23</t>
  </si>
  <si>
    <t>0.76±0.18</t>
  </si>
  <si>
    <t>0.61±0.08</t>
  </si>
  <si>
    <t>0.32±0.12</t>
  </si>
  <si>
    <t>0.35±0.11</t>
  </si>
  <si>
    <t>0.10±0.06</t>
  </si>
  <si>
    <t>0.75±0.09</t>
  </si>
  <si>
    <t>0.53±0.19</t>
  </si>
  <si>
    <t>0.08±0.03</t>
  </si>
  <si>
    <t>0.51±0.08</t>
  </si>
  <si>
    <t>0.25±0.10</t>
  </si>
  <si>
    <t>0.03±0.01</t>
  </si>
  <si>
    <t>0.28±0.09</t>
  </si>
  <si>
    <t>0.35±0.20</t>
  </si>
  <si>
    <t>0.87±0.06</t>
  </si>
  <si>
    <t>0.65±0.20</t>
  </si>
  <si>
    <t>0.23±0.11</t>
  </si>
  <si>
    <t>0.31±0.10</t>
  </si>
  <si>
    <t>0.05±0.03</t>
  </si>
  <si>
    <t>初步结论</t>
  </si>
  <si>
    <t>高值，便于游客或居民出行</t>
  </si>
  <si>
    <t>高值，路网整体性好</t>
  </si>
  <si>
    <t>中等偏高值</t>
  </si>
  <si>
    <t>低值</t>
  </si>
  <si>
    <t>中等值</t>
  </si>
  <si>
    <t>中等偏低值</t>
  </si>
  <si>
    <t>极低值</t>
  </si>
  <si>
    <t>低值或中等偏低值</t>
  </si>
  <si>
    <t>低值或极低值</t>
  </si>
  <si>
    <t>初步推荐数值</t>
  </si>
  <si>
    <t>0.64±0.16</t>
  </si>
  <si>
    <t>0.82±0.07</t>
  </si>
  <si>
    <t>0.73±0.14</t>
  </si>
  <si>
    <t>0.05±0.05</t>
  </si>
  <si>
    <t>0.51±0.09</t>
  </si>
  <si>
    <t>0.28±0.12</t>
  </si>
  <si>
    <t>0.25±0.09</t>
  </si>
  <si>
    <t>0.07±0.04</t>
  </si>
  <si>
    <t>0.13±0.09</t>
  </si>
  <si>
    <t>0.69±0.07</t>
  </si>
  <si>
    <t>0.41±0.13</t>
  </si>
  <si>
    <t>0.04±0.02</t>
  </si>
  <si>
    <t>0.50±0.06</t>
  </si>
  <si>
    <t>0.17±0.06</t>
  </si>
  <si>
    <t>0.28±0.08</t>
  </si>
  <si>
    <t>0.06±0.03</t>
  </si>
  <si>
    <t>0.34±0.17</t>
  </si>
  <si>
    <t>0.80±0.08</t>
  </si>
  <si>
    <t>0.54±0.15</t>
  </si>
  <si>
    <t>0.09±0.04</t>
  </si>
  <si>
    <t>0.56±0.08</t>
  </si>
  <si>
    <t>0.24±0.09</t>
  </si>
  <si>
    <t>0.30±0.10</t>
  </si>
  <si>
    <t>0.19±0.12</t>
  </si>
  <si>
    <t>0.75±0.07</t>
  </si>
  <si>
    <t>0.61±0.17</t>
  </si>
  <si>
    <t>0.52±0.07</t>
  </si>
  <si>
    <t>0.26±0.11</t>
  </si>
  <si>
    <t>0.27±0.09</t>
  </si>
  <si>
    <t>0.18±0.12</t>
  </si>
  <si>
    <t>0.74±0.06</t>
  </si>
  <si>
    <t>0.47±0.13</t>
  </si>
  <si>
    <t>0.53±0.07</t>
  </si>
  <si>
    <t>0.21±0.08</t>
  </si>
  <si>
    <t>0.06±0.04</t>
  </si>
  <si>
    <t>0.28±0.14</t>
  </si>
  <si>
    <t>0.77±0.06</t>
  </si>
  <si>
    <t>0.53±0.18</t>
  </si>
  <si>
    <t>0.57±0.07</t>
  </si>
  <si>
    <t>0.09±0.05</t>
  </si>
  <si>
    <t>0.33±0.10</t>
  </si>
  <si>
    <t>0.71±0.06</t>
  </si>
  <si>
    <t>0.53±0.11</t>
  </si>
  <si>
    <t>0.14±0.05</t>
  </si>
  <si>
    <t>0.55±0.07</t>
  </si>
  <si>
    <t>0.31±0.08</t>
  </si>
  <si>
    <t>0.13±0.07</t>
  </si>
  <si>
    <t>0.72±0.07</t>
  </si>
  <si>
    <t>0.44±0.10</t>
  </si>
  <si>
    <t>0.12±0.05</t>
  </si>
  <si>
    <t>0.56±0.07</t>
  </si>
  <si>
    <t>0.25±0.06</t>
  </si>
  <si>
    <t>0.10±0.05</t>
  </si>
  <si>
    <t>0.36±0.11</t>
  </si>
  <si>
    <t>0.76±0.06</t>
  </si>
  <si>
    <t>0.50±0.11</t>
  </si>
  <si>
    <t>0.16±0.06</t>
  </si>
  <si>
    <t>0.59±0.07</t>
  </si>
  <si>
    <t>0.75±0.06</t>
  </si>
  <si>
    <t>0.46±0.11</t>
  </si>
  <si>
    <t>0.13±0.05</t>
  </si>
  <si>
    <t>0.58±0.07</t>
  </si>
  <si>
    <t>0.25±0.07</t>
  </si>
  <si>
    <t>0.39±0.12</t>
  </si>
  <si>
    <t>0.76±0.07</t>
  </si>
  <si>
    <t>0.54±0.12</t>
  </si>
  <si>
    <t>0.17±0.07</t>
  </si>
  <si>
    <t>0.30±0.08</t>
  </si>
  <si>
    <t>0.32±0.10</t>
  </si>
  <si>
    <t>0.26±0.10</t>
  </si>
  <si>
    <t>0.68±0.07</t>
  </si>
  <si>
    <t>0.46±0.12</t>
  </si>
  <si>
    <t>0.11±0.04</t>
  </si>
  <si>
    <t>0.51±0.07</t>
  </si>
  <si>
    <t>0.24±0.08</t>
  </si>
  <si>
    <t>0.29±0.10</t>
  </si>
  <si>
    <t>0.79±0.05</t>
  </si>
  <si>
    <t>0.55±0.15</t>
  </si>
  <si>
    <t>0.24±0.12</t>
  </si>
  <si>
    <t>0.79±0.06</t>
  </si>
  <si>
    <t>0.60±0.15</t>
  </si>
  <si>
    <t>0.08±0.04</t>
  </si>
  <si>
    <t>0.57±0.09</t>
  </si>
  <si>
    <t>0.30±0.12</t>
  </si>
  <si>
    <t>0.07±0.05</t>
  </si>
  <si>
    <t>0.21±0.10</t>
  </si>
  <si>
    <t>0.80±0.06</t>
  </si>
  <si>
    <t>0.61±0.14</t>
  </si>
  <si>
    <t>0.34±0.10</t>
  </si>
  <si>
    <t>0.11±0.08</t>
  </si>
  <si>
    <t>0.29±0.13</t>
  </si>
  <si>
    <t>0.73±0.07</t>
  </si>
  <si>
    <t>0.52±0.14</t>
  </si>
  <si>
    <t>0.11±0.05</t>
  </si>
  <si>
    <t>0.26±0.08</t>
  </si>
  <si>
    <t>中值，便于游客或居民出行</t>
  </si>
  <si>
    <t>0.52±0.12</t>
  </si>
  <si>
    <t>0.10±0.04</t>
  </si>
  <si>
    <t>0.03±0.02</t>
  </si>
  <si>
    <t>0.30±0.09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</si>
</sst>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);[Red]\(0.00000\)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b/>
      <sz val="10.5"/>
      <color rgb="FFFF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>
      <alignment vertical="center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10" fontId="5" fillId="0" borderId="0" xfId="3" applyNumberFormat="1" applyFont="1">
      <alignment vertical="center"/>
    </xf>
    <xf numFmtId="176" fontId="5" fillId="0" borderId="0" xfId="3" applyNumberFormat="1" applyFont="1">
      <alignment vertical="center"/>
    </xf>
    <xf numFmtId="10" fontId="0" fillId="0" borderId="0" xfId="3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水乡道路聚类分析各类占比平均值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577293136626042"/>
                  <c:y val="0.027397260273972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各类数量与占比!$B$2:$D$2</c:f>
              <c:strCache>
                <c:ptCount val="3"/>
                <c:pt idx="0">
                  <c:v>一类占比</c:v>
                </c:pt>
                <c:pt idx="1">
                  <c:v>二类占比</c:v>
                </c:pt>
                <c:pt idx="2">
                  <c:v>三类占比</c:v>
                </c:pt>
              </c:strCache>
            </c:strRef>
          </c:cat>
          <c:val>
            <c:numRef>
              <c:f>各类数量与占比!$B$18:$D$18</c:f>
              <c:numCache>
                <c:formatCode>0.00%</c:formatCode>
                <c:ptCount val="3"/>
                <c:pt idx="0">
                  <c:v>0.0172733333333333</c:v>
                </c:pt>
                <c:pt idx="1">
                  <c:v>0.279446666666667</c:v>
                </c:pt>
                <c:pt idx="2">
                  <c:v>0.70328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c3474b-8f47-4f1d-9d67-31f2a517fa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非水乡道路聚类分析各类占比平均值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0247157686604053"/>
                  <c:y val="0.021126760563380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各类数量与占比!$B$23:$D$23</c:f>
              <c:strCache>
                <c:ptCount val="3"/>
                <c:pt idx="0">
                  <c:v>一类占比</c:v>
                </c:pt>
                <c:pt idx="1">
                  <c:v>二类占比</c:v>
                </c:pt>
                <c:pt idx="2">
                  <c:v>三类占比</c:v>
                </c:pt>
              </c:strCache>
            </c:strRef>
          </c:cat>
          <c:val>
            <c:numRef>
              <c:f>各类数量与占比!$B$39:$D$39</c:f>
              <c:numCache>
                <c:formatCode>0.00%</c:formatCode>
                <c:ptCount val="3"/>
                <c:pt idx="0">
                  <c:v>0.107106666666667</c:v>
                </c:pt>
                <c:pt idx="1">
                  <c:v>0.362533333333333</c:v>
                </c:pt>
                <c:pt idx="2">
                  <c:v>0.53036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e5ed6e-bfe9-4a59-8479-e155b70f6b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水乡与非水乡道路聚类分析各类占比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"水乡名称"</c:f>
              <c:strCache>
                <c:ptCount val="1"/>
                <c:pt idx="0">
                  <c:v>水乡名称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各类数量与占比!$B$2:$D$2</c:f>
              <c:strCache>
                <c:ptCount val="3"/>
                <c:pt idx="0">
                  <c:v>一类占比</c:v>
                </c:pt>
                <c:pt idx="1">
                  <c:v>二类占比</c:v>
                </c:pt>
                <c:pt idx="2">
                  <c:v>三类占比</c:v>
                </c:pt>
              </c:strCache>
            </c:strRef>
          </c:cat>
          <c:val>
            <c:numRef>
              <c:f>各类数量与占比!$B$18:$D$18</c:f>
              <c:numCache>
                <c:formatCode>0.00%</c:formatCode>
                <c:ptCount val="3"/>
                <c:pt idx="0">
                  <c:v>0.0172733333333333</c:v>
                </c:pt>
                <c:pt idx="1">
                  <c:v>0.279446666666667</c:v>
                </c:pt>
                <c:pt idx="2">
                  <c:v>0.70328</c:v>
                </c:pt>
              </c:numCache>
            </c:numRef>
          </c:val>
        </c:ser>
        <c:ser>
          <c:idx val="1"/>
          <c:order val="1"/>
          <c:tx>
            <c:strRef>
              <c:f>"非水乡名称"</c:f>
              <c:strCache>
                <c:ptCount val="1"/>
                <c:pt idx="0">
                  <c:v>非水乡名称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各类数量与占比!$B$2:$D$2</c:f>
              <c:strCache>
                <c:ptCount val="3"/>
                <c:pt idx="0">
                  <c:v>一类占比</c:v>
                </c:pt>
                <c:pt idx="1">
                  <c:v>二类占比</c:v>
                </c:pt>
                <c:pt idx="2">
                  <c:v>三类占比</c:v>
                </c:pt>
              </c:strCache>
            </c:strRef>
          </c:cat>
          <c:val>
            <c:numRef>
              <c:f>各类数量与占比!$B$39:$D$39</c:f>
              <c:numCache>
                <c:formatCode>0.00%</c:formatCode>
                <c:ptCount val="3"/>
                <c:pt idx="0">
                  <c:v>0.107106666666667</c:v>
                </c:pt>
                <c:pt idx="1">
                  <c:v>0.362533333333333</c:v>
                </c:pt>
                <c:pt idx="2">
                  <c:v>0.53036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725399179"/>
        <c:axId val="780809194"/>
      </c:barChart>
      <c:catAx>
        <c:axId val="7253991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809194"/>
        <c:crosses val="autoZero"/>
        <c:auto val="1"/>
        <c:lblAlgn val="ctr"/>
        <c:lblOffset val="100"/>
        <c:noMultiLvlLbl val="0"/>
      </c:catAx>
      <c:valAx>
        <c:axId val="78080919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3991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f11461-668b-4bf3-ba0f-d133cca1a6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水乡与非水乡道路聚类分析各类方差统计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各类数量与占比!$B$2:$D$2</c:f>
              <c:strCache>
                <c:ptCount val="3"/>
                <c:pt idx="0">
                  <c:v>一类占比</c:v>
                </c:pt>
                <c:pt idx="1">
                  <c:v>二类占比</c:v>
                </c:pt>
                <c:pt idx="2">
                  <c:v>三类占比</c:v>
                </c:pt>
              </c:strCache>
            </c:strRef>
          </c:cat>
          <c:val>
            <c:numRef>
              <c:f>各类数量与占比!$B$20:$D$20</c:f>
              <c:numCache>
                <c:formatCode>0.00000_);[Red]\(0.00000\)</c:formatCode>
                <c:ptCount val="3"/>
                <c:pt idx="0">
                  <c:v>0.000275804952380952</c:v>
                </c:pt>
                <c:pt idx="1">
                  <c:v>0.00268492838095238</c:v>
                </c:pt>
                <c:pt idx="2">
                  <c:v>0.00412360171428571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各类数量与占比!$B$2:$D$2</c:f>
              <c:strCache>
                <c:ptCount val="3"/>
                <c:pt idx="0">
                  <c:v>一类占比</c:v>
                </c:pt>
                <c:pt idx="1">
                  <c:v>二类占比</c:v>
                </c:pt>
                <c:pt idx="2">
                  <c:v>三类占比</c:v>
                </c:pt>
              </c:strCache>
            </c:strRef>
          </c:cat>
          <c:val>
            <c:numRef>
              <c:f>各类数量与占比!$B$41:$D$41</c:f>
              <c:numCache>
                <c:formatCode>General</c:formatCode>
                <c:ptCount val="3"/>
                <c:pt idx="0">
                  <c:v>0.00492064066666667</c:v>
                </c:pt>
                <c:pt idx="1">
                  <c:v>0.00225288238095238</c:v>
                </c:pt>
                <c:pt idx="2">
                  <c:v>0.0118661354285714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294692814"/>
        <c:axId val="528015630"/>
      </c:barChart>
      <c:catAx>
        <c:axId val="2946928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015630"/>
        <c:crosses val="autoZero"/>
        <c:auto val="1"/>
        <c:lblAlgn val="ctr"/>
        <c:lblOffset val="100"/>
        <c:noMultiLvlLbl val="0"/>
      </c:catAx>
      <c:valAx>
        <c:axId val="528015630"/>
        <c:scaling>
          <c:orientation val="minMax"/>
        </c:scaling>
        <c:delete val="1"/>
        <c:axPos val="l"/>
        <c:numFmt formatCode="0.00000_);[Red]\(0.000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46928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9d7466-7b69-4798-af17-2df7802f74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200025</xdr:colOff>
      <xdr:row>0</xdr:row>
      <xdr:rowOff>98425</xdr:rowOff>
    </xdr:from>
    <xdr:to>
      <xdr:col>10</xdr:col>
      <xdr:colOff>45085</xdr:colOff>
      <xdr:row>16</xdr:row>
      <xdr:rowOff>136525</xdr:rowOff>
    </xdr:to>
    <xdr:graphicFrame>
      <xdr:nvGraphicFramePr>
        <xdr:cNvPr id="2" name="图表 1" descr="7b0a202020202263686172745265734964223a20223230343736383835220a7d0a"/>
        <xdr:cNvGraphicFramePr/>
      </xdr:nvGraphicFramePr>
      <xdr:xfrm>
        <a:off x="4276725" y="98425"/>
        <a:ext cx="3959860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267335</xdr:colOff>
      <xdr:row>20</xdr:row>
      <xdr:rowOff>136525</xdr:rowOff>
    </xdr:from>
    <xdr:to>
      <xdr:col>10</xdr:col>
      <xdr:colOff>6350</xdr:colOff>
      <xdr:row>36</xdr:row>
      <xdr:rowOff>98425</xdr:rowOff>
    </xdr:to>
    <xdr:graphicFrame>
      <xdr:nvGraphicFramePr>
        <xdr:cNvPr id="6" name="图表 5" descr="7b0a202020202263686172745265734964223a20223230343736383835220a7d0a"/>
        <xdr:cNvGraphicFramePr/>
      </xdr:nvGraphicFramePr>
      <xdr:xfrm>
        <a:off x="4344035" y="3565525"/>
        <a:ext cx="3853815" cy="2705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228600</xdr:colOff>
      <xdr:row>0</xdr:row>
      <xdr:rowOff>117475</xdr:rowOff>
    </xdr:from>
    <xdr:to>
      <xdr:col>17</xdr:col>
      <xdr:colOff>254000</xdr:colOff>
      <xdr:row>16</xdr:row>
      <xdr:rowOff>117475</xdr:rowOff>
    </xdr:to>
    <xdr:graphicFrame>
      <xdr:nvGraphicFramePr>
        <xdr:cNvPr id="7" name="图表 6"/>
        <xdr:cNvGraphicFramePr/>
      </xdr:nvGraphicFramePr>
      <xdr:xfrm>
        <a:off x="8420100" y="117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292100</xdr:colOff>
      <xdr:row>20</xdr:row>
      <xdr:rowOff>146050</xdr:rowOff>
    </xdr:from>
    <xdr:to>
      <xdr:col>19</xdr:col>
      <xdr:colOff>440055</xdr:colOff>
      <xdr:row>35</xdr:row>
      <xdr:rowOff>41910</xdr:rowOff>
    </xdr:to>
    <xdr:graphicFrame>
      <xdr:nvGraphicFramePr>
        <xdr:cNvPr id="8" name="图表 7"/>
        <xdr:cNvGraphicFramePr/>
      </xdr:nvGraphicFramePr>
      <xdr:xfrm>
        <a:off x="8483600" y="3575050"/>
        <a:ext cx="6320155" cy="2467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257175</xdr:colOff>
      <xdr:row>36</xdr:row>
      <xdr:rowOff>161925</xdr:rowOff>
    </xdr:from>
    <xdr:to>
      <xdr:col>18</xdr:col>
      <xdr:colOff>598805</xdr:colOff>
      <xdr:row>43</xdr:row>
      <xdr:rowOff>9525</xdr:rowOff>
    </xdr:to>
    <xdr:sp>
      <xdr:nvSpPr>
        <xdr:cNvPr id="9" name="文本框 8"/>
        <xdr:cNvSpPr txBox="1"/>
      </xdr:nvSpPr>
      <xdr:spPr>
        <a:xfrm>
          <a:off x="4333875" y="6334125"/>
          <a:ext cx="994283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1100"/>
            <a:t>结论：</a:t>
          </a:r>
          <a:endParaRPr lang="zh-CN" altLang="en-US" sz="1100"/>
        </a:p>
        <a:p>
          <a:pPr algn="l"/>
          <a:r>
            <a:rPr lang="zh-CN" altLang="en-US" sz="1100"/>
            <a:t>（</a:t>
          </a:r>
          <a:r>
            <a:rPr lang="en-US" altLang="zh-CN" sz="1100"/>
            <a:t>1</a:t>
          </a:r>
          <a:r>
            <a:rPr lang="zh-CN" altLang="en-US" sz="1100"/>
            <a:t>）水乡道路一级分类（通过图和数值可知是主干道）道路占比明显小于非水乡一级道路占比，前者呈现约为</a:t>
          </a:r>
          <a:r>
            <a:rPr lang="en-US" altLang="zh-CN" sz="1100"/>
            <a:t>1:14:35</a:t>
          </a:r>
          <a:r>
            <a:rPr lang="zh-CN" altLang="en-US" sz="1100"/>
            <a:t>，后者约为</a:t>
          </a:r>
          <a:r>
            <a:rPr lang="en-US" altLang="zh-CN" sz="1100"/>
            <a:t>2:7</a:t>
          </a:r>
          <a:r>
            <a:rPr lang="zh-CN" altLang="en-US" sz="1100"/>
            <a:t>：</a:t>
          </a:r>
          <a:r>
            <a:rPr lang="en-US" altLang="zh-CN" sz="1100"/>
            <a:t>10</a:t>
          </a:r>
          <a:r>
            <a:rPr lang="zh-CN" altLang="en-US" sz="1100"/>
            <a:t>。</a:t>
          </a:r>
          <a:endParaRPr lang="zh-CN" altLang="en-US" sz="1100"/>
        </a:p>
        <a:p>
          <a:pPr algn="l"/>
          <a:r>
            <a:rPr lang="zh-CN" altLang="en-US" sz="1100"/>
            <a:t>（</a:t>
          </a:r>
          <a:r>
            <a:rPr lang="en-US" altLang="zh-CN" sz="1100"/>
            <a:t>2</a:t>
          </a:r>
          <a:r>
            <a:rPr lang="zh-CN" altLang="en-US" sz="1100"/>
            <a:t>）不同城市、不同片区水乡各级道路占比较为相近，而非水乡道路各类占比因地区差异较大（方差统计结果，例如杭州一类占比较小，上海一类占比较大）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485775</xdr:colOff>
      <xdr:row>3</xdr:row>
      <xdr:rowOff>19050</xdr:rowOff>
    </xdr:from>
    <xdr:to>
      <xdr:col>15</xdr:col>
      <xdr:colOff>438150</xdr:colOff>
      <xdr:row>17</xdr:row>
      <xdr:rowOff>161290</xdr:rowOff>
    </xdr:to>
    <xdr:sp>
      <xdr:nvSpPr>
        <xdr:cNvPr id="2" name="文本框 1"/>
        <xdr:cNvSpPr txBox="1"/>
      </xdr:nvSpPr>
      <xdr:spPr>
        <a:xfrm>
          <a:off x="11163300" y="641350"/>
          <a:ext cx="3381375" cy="2542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单看水乡结论：</a:t>
          </a:r>
          <a:endParaRPr lang="zh-CN" altLang="en-US" sz="1100"/>
        </a:p>
        <a:p>
          <a:pPr algn="l"/>
          <a:r>
            <a:rPr lang="zh-CN" altLang="en-US" sz="1100"/>
            <a:t>（</a:t>
          </a:r>
          <a:r>
            <a:rPr lang="en-US" altLang="zh-CN" sz="1100"/>
            <a:t>1</a:t>
          </a:r>
          <a:r>
            <a:rPr lang="zh-CN" altLang="en-US" sz="1100"/>
            <a:t>）</a:t>
          </a:r>
          <a:r>
            <a:rPr lang="en-US" altLang="zh-CN" sz="1100"/>
            <a:t>choice</a:t>
          </a:r>
          <a:r>
            <a:rPr lang="zh-CN" altLang="en-US" sz="1100"/>
            <a:t>测度：第一类要比第二类、第三类高好多（断崖式下跌）</a:t>
          </a:r>
          <a:endParaRPr lang="zh-CN" altLang="en-US" sz="1100"/>
        </a:p>
        <a:p>
          <a:pPr algn="l"/>
          <a:r>
            <a:rPr lang="zh-CN" altLang="en-US" sz="1100"/>
            <a:t>（</a:t>
          </a:r>
          <a:r>
            <a:rPr lang="en-US" altLang="zh-CN" sz="1100"/>
            <a:t>2</a:t>
          </a:r>
          <a:r>
            <a:rPr lang="zh-CN" altLang="en-US" sz="1100"/>
            <a:t>）</a:t>
          </a:r>
          <a:r>
            <a:rPr lang="en-US" altLang="zh-CN" sz="1100"/>
            <a:t>integration</a:t>
          </a:r>
          <a:r>
            <a:rPr lang="zh-CN" altLang="en-US" sz="1100"/>
            <a:t>：第一类与第二类，第二类与第三类之间差距不是特别大（均匀递减）</a:t>
          </a:r>
          <a:endParaRPr lang="zh-CN" altLang="en-US" sz="1100"/>
        </a:p>
        <a:p>
          <a:pPr algn="l"/>
          <a:r>
            <a:rPr lang="zh-CN" altLang="en-US" sz="1100"/>
            <a:t>（</a:t>
          </a:r>
          <a:r>
            <a:rPr lang="en-US" altLang="zh-CN" sz="1100"/>
            <a:t>3</a:t>
          </a:r>
          <a:r>
            <a:rPr lang="zh-CN" altLang="en-US" sz="1100"/>
            <a:t>）三个测度：总体看</a:t>
          </a:r>
          <a:r>
            <a:rPr lang="en-US" altLang="zh-CN" sz="1100"/>
            <a:t>choice</a:t>
          </a:r>
          <a:r>
            <a:rPr lang="zh-CN" altLang="en-US" sz="1100"/>
            <a:t>的分异要大很多，</a:t>
          </a:r>
          <a:r>
            <a:rPr lang="en-US" altLang="zh-CN" sz="1100"/>
            <a:t>integration</a:t>
          </a:r>
          <a:r>
            <a:rPr lang="zh-CN" altLang="en-US" sz="1100"/>
            <a:t>相对最均匀，</a:t>
          </a:r>
          <a:r>
            <a:rPr lang="en-US" altLang="zh-CN" sz="1100"/>
            <a:t>connectivity</a:t>
          </a:r>
          <a:r>
            <a:rPr lang="zh-CN" altLang="en-US" sz="1100"/>
            <a:t>介于两者之间</a:t>
          </a:r>
          <a:endParaRPr lang="zh-CN" altLang="en-US" sz="1100"/>
        </a:p>
        <a:p>
          <a:pPr algn="l"/>
          <a:r>
            <a:rPr lang="zh-CN" altLang="en-US" sz="1100"/>
            <a:t>（</a:t>
          </a:r>
          <a:r>
            <a:rPr lang="en-US" altLang="zh-CN" sz="1100"/>
            <a:t>2</a:t>
          </a:r>
          <a:r>
            <a:rPr lang="zh-CN" altLang="en-US" sz="1100"/>
            <a:t>）反常：震泽古镇、前黄镇、金泽镇真的是水乡典型路网结构吗？（可以让机器学习判断一下他们的得分）</a:t>
          </a:r>
          <a:endParaRPr lang="zh-CN" altLang="en-US" sz="1100"/>
        </a:p>
        <a:p>
          <a:pPr algn="l"/>
          <a:endParaRPr lang="en-US" altLang="zh-CN" sz="1100"/>
        </a:p>
      </xdr:txBody>
    </xdr:sp>
    <xdr:clientData/>
  </xdr:twoCellAnchor>
  <xdr:twoCellAnchor>
    <xdr:from>
      <xdr:col>10</xdr:col>
      <xdr:colOff>432435</xdr:colOff>
      <xdr:row>21</xdr:row>
      <xdr:rowOff>3175</xdr:rowOff>
    </xdr:from>
    <xdr:to>
      <xdr:col>15</xdr:col>
      <xdr:colOff>460375</xdr:colOff>
      <xdr:row>35</xdr:row>
      <xdr:rowOff>145415</xdr:rowOff>
    </xdr:to>
    <xdr:sp>
      <xdr:nvSpPr>
        <xdr:cNvPr id="3" name="文本框 2"/>
        <xdr:cNvSpPr txBox="1"/>
      </xdr:nvSpPr>
      <xdr:spPr>
        <a:xfrm>
          <a:off x="11109960" y="4054475"/>
          <a:ext cx="3456940" cy="2612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水乡与非水乡比较结论：</a:t>
          </a:r>
          <a:endParaRPr lang="zh-CN" altLang="en-US" sz="1100"/>
        </a:p>
        <a:p>
          <a:pPr algn="l"/>
          <a:r>
            <a:rPr lang="zh-CN" altLang="en-US" sz="1100"/>
            <a:t>（</a:t>
          </a:r>
          <a:r>
            <a:rPr lang="en-US" altLang="zh-CN" sz="1100"/>
            <a:t>1</a:t>
          </a:r>
          <a:r>
            <a:rPr lang="zh-CN" altLang="en-US" sz="1100"/>
            <a:t>）</a:t>
          </a:r>
          <a:r>
            <a:rPr lang="en-US" altLang="zh-CN" sz="1100"/>
            <a:t>choice</a:t>
          </a:r>
          <a:r>
            <a:rPr lang="zh-CN" altLang="en-US" sz="1100"/>
            <a:t>测度：第一类的</a:t>
          </a:r>
          <a:r>
            <a:rPr lang="en-US" altLang="zh-CN" sz="1100"/>
            <a:t>choice</a:t>
          </a:r>
          <a:r>
            <a:rPr lang="zh-CN" altLang="en-US" sz="1100"/>
            <a:t>水乡明显比非水乡大很多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（</a:t>
          </a:r>
          <a:r>
            <a:rPr lang="en-US" altLang="zh-CN">
              <a:sym typeface="+mn-ea"/>
            </a:rPr>
            <a:t>2</a:t>
          </a:r>
          <a:r>
            <a:rPr lang="zh-CN" altLang="en-US">
              <a:sym typeface="+mn-ea"/>
            </a:rPr>
            <a:t>）</a:t>
          </a:r>
          <a:r>
            <a:rPr lang="en-US" altLang="zh-CN">
              <a:sym typeface="+mn-ea"/>
            </a:rPr>
            <a:t>与非水乡路网相比，水乡</a:t>
          </a:r>
          <a:r>
            <a:rPr lang="zh-CN" altLang="en-US">
              <a:sym typeface="+mn-ea"/>
            </a:rPr>
            <a:t>一类路网在</a:t>
          </a:r>
          <a:r>
            <a:rPr lang="en-US" altLang="zh-CN">
              <a:sym typeface="+mn-ea"/>
            </a:rPr>
            <a:t>choice、integration、connectivity三个维度的指标值整体偏高，</a:t>
          </a:r>
          <a:r>
            <a:rPr lang="zh-CN" altLang="en-US">
              <a:sym typeface="+mn-ea"/>
            </a:rPr>
            <a:t>而在第二类、第三类上</a:t>
          </a:r>
          <a:r>
            <a:rPr lang="en-US" altLang="zh-CN">
              <a:sym typeface="+mn-ea"/>
            </a:rPr>
            <a:t>choice</a:t>
          </a:r>
          <a:r>
            <a:rPr lang="zh-CN" altLang="en-US">
              <a:sym typeface="+mn-ea"/>
            </a:rPr>
            <a:t>、</a:t>
          </a:r>
          <a:r>
            <a:rPr lang="en-US" altLang="zh-CN">
              <a:sym typeface="+mn-ea"/>
            </a:rPr>
            <a:t>integration</a:t>
          </a:r>
          <a:r>
            <a:rPr lang="zh-CN" altLang="en-US">
              <a:sym typeface="+mn-ea"/>
            </a:rPr>
            <a:t>、</a:t>
          </a:r>
          <a:r>
            <a:rPr lang="en-US" altLang="zh-CN">
              <a:sym typeface="+mn-ea"/>
            </a:rPr>
            <a:t>connectivity</a:t>
          </a:r>
          <a:r>
            <a:rPr lang="zh-CN" altLang="en-US">
              <a:sym typeface="+mn-ea"/>
            </a:rPr>
            <a:t>却偏低，</a:t>
          </a:r>
          <a:r>
            <a:rPr lang="en-US" altLang="zh-CN">
              <a:sym typeface="+mn-ea"/>
            </a:rPr>
            <a:t>显示出</a:t>
          </a:r>
          <a:r>
            <a:rPr lang="zh-CN" altLang="en-US">
              <a:sym typeface="+mn-ea"/>
            </a:rPr>
            <a:t>主干道</a:t>
          </a:r>
          <a:r>
            <a:rPr lang="en-US" altLang="zh-CN">
              <a:sym typeface="+mn-ea"/>
            </a:rPr>
            <a:t>水乡路网在交通设计上</a:t>
          </a:r>
          <a:r>
            <a:rPr lang="zh-CN" altLang="en-US">
              <a:sym typeface="+mn-ea"/>
            </a:rPr>
            <a:t>的重要性。</a:t>
          </a:r>
          <a:endParaRPr lang="zh-CN" altLang="en-US" sz="1100"/>
        </a:p>
        <a:p>
          <a:pPr algn="l"/>
          <a:r>
            <a:rPr lang="zh-CN" altLang="en-US" sz="1100"/>
            <a:t>（</a:t>
          </a:r>
          <a:r>
            <a:rPr lang="en-US" altLang="zh-CN" sz="1100"/>
            <a:t>3</a:t>
          </a:r>
          <a:r>
            <a:rPr lang="zh-CN" altLang="en-US" sz="1100"/>
            <a:t>）三个测度：水乡路网结构存在明显的主次关系，且主要路网数量非常少，主干道为沿河分布</a:t>
          </a:r>
          <a:r>
            <a:rPr lang="en-US" altLang="zh-CN" sz="1100"/>
            <a:t>/</a:t>
          </a:r>
          <a:r>
            <a:rPr lang="zh-CN" altLang="en-US" sz="1100"/>
            <a:t>与河流趋势相似的主商业街；非水乡路网主次关系没有那么明显，且与城市主干道、次干道、支路属性高度重合。</a:t>
          </a:r>
          <a:endParaRPr lang="zh-CN" altLang="en-US" sz="1100"/>
        </a:p>
        <a:p>
          <a:pPr algn="l"/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A24" sqref="A24:A38"/>
    </sheetView>
  </sheetViews>
  <sheetFormatPr defaultColWidth="9" defaultRowHeight="13.5" outlineLevelCol="3"/>
  <cols>
    <col min="1" max="1" width="17" customWidth="1"/>
    <col min="2" max="2" width="11.25" customWidth="1"/>
    <col min="3" max="4" width="12.625"/>
  </cols>
  <sheetData>
    <row r="1" spans="1:4">
      <c r="A1" s="1" t="s">
        <v>0</v>
      </c>
      <c r="B1" s="1"/>
      <c r="C1" s="1"/>
      <c r="D1" s="1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t="s">
        <v>5</v>
      </c>
      <c r="B3" s="11">
        <v>0.019</v>
      </c>
      <c r="C3" s="11">
        <v>0.3452</v>
      </c>
      <c r="D3" s="11">
        <v>0.6358</v>
      </c>
    </row>
    <row r="4" spans="1:4">
      <c r="A4" t="s">
        <v>6</v>
      </c>
      <c r="B4" s="11">
        <v>0.0008</v>
      </c>
      <c r="C4" s="11">
        <v>0.2261</v>
      </c>
      <c r="D4" s="11">
        <v>0.7731</v>
      </c>
    </row>
    <row r="5" spans="1:4">
      <c r="A5" t="s">
        <v>7</v>
      </c>
      <c r="B5" s="11">
        <v>0.0007</v>
      </c>
      <c r="C5" s="11">
        <v>0.2275</v>
      </c>
      <c r="D5" s="11">
        <v>0.7717</v>
      </c>
    </row>
    <row r="6" spans="1:4">
      <c r="A6" t="s">
        <v>8</v>
      </c>
      <c r="B6" s="11">
        <v>0.0021</v>
      </c>
      <c r="C6" s="11">
        <v>0.208</v>
      </c>
      <c r="D6" s="11">
        <v>0.7899</v>
      </c>
    </row>
    <row r="7" spans="1:4">
      <c r="A7" s="6" t="s">
        <v>9</v>
      </c>
      <c r="B7" s="11">
        <v>0.0381</v>
      </c>
      <c r="C7" s="11">
        <v>0.3524</v>
      </c>
      <c r="D7" s="11">
        <v>0.6096</v>
      </c>
    </row>
    <row r="8" spans="1:4">
      <c r="A8" s="6" t="s">
        <v>10</v>
      </c>
      <c r="B8" s="11">
        <v>0.0534</v>
      </c>
      <c r="C8" s="11">
        <v>0.325</v>
      </c>
      <c r="D8" s="11">
        <v>0.6216</v>
      </c>
    </row>
    <row r="9" spans="1:4">
      <c r="A9" t="s">
        <v>11</v>
      </c>
      <c r="B9" s="11">
        <v>0.0328</v>
      </c>
      <c r="C9" s="11">
        <v>0.2873</v>
      </c>
      <c r="D9" s="11">
        <v>0.6799</v>
      </c>
    </row>
    <row r="10" spans="1:4">
      <c r="A10" t="s">
        <v>12</v>
      </c>
      <c r="B10" s="11">
        <v>0.0133</v>
      </c>
      <c r="C10" s="11">
        <v>0.3031</v>
      </c>
      <c r="D10" s="11">
        <v>0.6837</v>
      </c>
    </row>
    <row r="11" spans="1:4">
      <c r="A11" t="s">
        <v>13</v>
      </c>
      <c r="B11" s="11">
        <v>0.0074</v>
      </c>
      <c r="C11" s="11">
        <v>0.2832</v>
      </c>
      <c r="D11" s="11">
        <v>0.7094</v>
      </c>
    </row>
    <row r="12" spans="1:4">
      <c r="A12" t="s">
        <v>14</v>
      </c>
      <c r="B12" s="11">
        <v>0.0187</v>
      </c>
      <c r="C12" s="11">
        <v>0.2936</v>
      </c>
      <c r="D12" s="11">
        <v>0.6877</v>
      </c>
    </row>
    <row r="13" spans="1:4">
      <c r="A13" t="s">
        <v>15</v>
      </c>
      <c r="B13" s="11">
        <v>0.0016</v>
      </c>
      <c r="C13" s="11">
        <v>0.2281</v>
      </c>
      <c r="D13" s="11">
        <v>0.7703</v>
      </c>
    </row>
    <row r="14" spans="1:4">
      <c r="A14" t="s">
        <v>16</v>
      </c>
      <c r="B14" s="11">
        <v>0.0058</v>
      </c>
      <c r="C14" s="11">
        <v>0.2106</v>
      </c>
      <c r="D14" s="11">
        <v>0.7836</v>
      </c>
    </row>
    <row r="15" spans="1:4">
      <c r="A15" t="s">
        <v>17</v>
      </c>
      <c r="B15" s="11">
        <v>0.0141</v>
      </c>
      <c r="C15" s="11">
        <v>0.3544</v>
      </c>
      <c r="D15" s="11">
        <v>0.6314</v>
      </c>
    </row>
    <row r="16" spans="1:4">
      <c r="A16" s="6" t="s">
        <v>18</v>
      </c>
      <c r="B16" s="11">
        <v>0.0408</v>
      </c>
      <c r="C16" s="11">
        <v>0.2993</v>
      </c>
      <c r="D16" s="11">
        <v>0.6599</v>
      </c>
    </row>
    <row r="17" spans="1:4">
      <c r="A17" t="s">
        <v>19</v>
      </c>
      <c r="B17" s="11">
        <v>0.0105</v>
      </c>
      <c r="C17" s="11">
        <v>0.2479</v>
      </c>
      <c r="D17" s="11">
        <v>0.7416</v>
      </c>
    </row>
    <row r="18" spans="1:4">
      <c r="A18" s="12" t="s">
        <v>20</v>
      </c>
      <c r="B18" s="13">
        <f>AVERAGE(B3:B17)</f>
        <v>0.0172733333333333</v>
      </c>
      <c r="C18" s="13">
        <f>AVERAGE(C3:C17)</f>
        <v>0.279446666666667</v>
      </c>
      <c r="D18" s="13">
        <f>AVERAGE(D3:D17)</f>
        <v>0.70328</v>
      </c>
    </row>
    <row r="19" spans="1:4">
      <c r="A19" s="12" t="s">
        <v>21</v>
      </c>
      <c r="B19" s="13">
        <f>MEDIAN(B3:B17)</f>
        <v>0.0133</v>
      </c>
      <c r="C19" s="13">
        <f>MEDIAN(C3:C17)</f>
        <v>0.2873</v>
      </c>
      <c r="D19" s="13">
        <f>MEDIAN(D3:D17)</f>
        <v>0.6877</v>
      </c>
    </row>
    <row r="20" spans="1:4">
      <c r="A20" s="12" t="s">
        <v>22</v>
      </c>
      <c r="B20" s="14">
        <f>_xlfn.VAR.S(B3:B17)</f>
        <v>0.000275804952380952</v>
      </c>
      <c r="C20" s="14">
        <f>_xlfn.VAR.S(C3:C17)</f>
        <v>0.00268492838095238</v>
      </c>
      <c r="D20" s="14">
        <f>_xlfn.VAR.S(D3:D17)</f>
        <v>0.00412360171428571</v>
      </c>
    </row>
    <row r="21" spans="1:1">
      <c r="A21" s="12"/>
    </row>
    <row r="22" spans="1:4">
      <c r="A22" s="1" t="s">
        <v>23</v>
      </c>
      <c r="B22" s="1"/>
      <c r="C22" s="1"/>
      <c r="D22" s="1"/>
    </row>
    <row r="23" spans="1:4">
      <c r="A23" s="3" t="s">
        <v>24</v>
      </c>
      <c r="B23" s="3" t="s">
        <v>2</v>
      </c>
      <c r="C23" s="3" t="s">
        <v>3</v>
      </c>
      <c r="D23" s="3" t="s">
        <v>4</v>
      </c>
    </row>
    <row r="24" spans="1:4">
      <c r="A24" t="s">
        <v>25</v>
      </c>
      <c r="B24" s="11">
        <v>0.0364</v>
      </c>
      <c r="C24" s="11">
        <v>0.3379</v>
      </c>
      <c r="D24" s="11">
        <v>0.6257</v>
      </c>
    </row>
    <row r="25" spans="1:4">
      <c r="A25" t="s">
        <v>26</v>
      </c>
      <c r="B25" s="11">
        <v>0.0168</v>
      </c>
      <c r="C25" s="11">
        <v>0.2912</v>
      </c>
      <c r="D25" s="11">
        <v>0.692</v>
      </c>
    </row>
    <row r="26" spans="1:4">
      <c r="A26" t="s">
        <v>27</v>
      </c>
      <c r="B26" s="11">
        <v>0.0165</v>
      </c>
      <c r="C26" s="11">
        <v>0.2937</v>
      </c>
      <c r="D26" s="11">
        <v>0.6898</v>
      </c>
    </row>
    <row r="27" spans="1:4">
      <c r="A27" t="s">
        <v>28</v>
      </c>
      <c r="B27" s="11">
        <v>0.0244</v>
      </c>
      <c r="C27" s="11">
        <v>0.3486</v>
      </c>
      <c r="D27" s="11">
        <v>0.627</v>
      </c>
    </row>
    <row r="28" spans="1:4">
      <c r="A28" t="s">
        <v>29</v>
      </c>
      <c r="B28" s="11">
        <v>0.0209</v>
      </c>
      <c r="C28" s="11">
        <v>0.3698</v>
      </c>
      <c r="D28" s="11">
        <v>0.6092</v>
      </c>
    </row>
    <row r="29" spans="1:4">
      <c r="A29" t="s">
        <v>30</v>
      </c>
      <c r="B29" s="11">
        <v>0.2032</v>
      </c>
      <c r="C29" s="11">
        <v>0.4016</v>
      </c>
      <c r="D29" s="11">
        <v>0.3952</v>
      </c>
    </row>
    <row r="30" spans="1:4">
      <c r="A30" t="s">
        <v>31</v>
      </c>
      <c r="B30" s="11">
        <v>0.1922</v>
      </c>
      <c r="C30" s="11">
        <v>0.4109</v>
      </c>
      <c r="D30" s="11">
        <v>0.3969</v>
      </c>
    </row>
    <row r="31" spans="1:4">
      <c r="A31" t="s">
        <v>32</v>
      </c>
      <c r="B31" s="11">
        <v>0.1917</v>
      </c>
      <c r="C31" s="11">
        <v>0.3961</v>
      </c>
      <c r="D31" s="11">
        <v>0.4122</v>
      </c>
    </row>
    <row r="32" spans="1:4">
      <c r="A32" t="s">
        <v>33</v>
      </c>
      <c r="B32" s="11">
        <v>0.1647</v>
      </c>
      <c r="C32" s="11">
        <v>0.3935</v>
      </c>
      <c r="D32" s="11">
        <v>0.4418</v>
      </c>
    </row>
    <row r="33" spans="1:4">
      <c r="A33" t="s">
        <v>34</v>
      </c>
      <c r="B33" s="11">
        <v>0.1688</v>
      </c>
      <c r="C33" s="11">
        <v>0.4019</v>
      </c>
      <c r="D33" s="11">
        <v>0.4293</v>
      </c>
    </row>
    <row r="34" spans="1:4">
      <c r="A34" t="s">
        <v>35</v>
      </c>
      <c r="B34" s="11">
        <v>0.1214</v>
      </c>
      <c r="C34" s="11">
        <v>0.3694</v>
      </c>
      <c r="D34" s="11">
        <v>0.5092</v>
      </c>
    </row>
    <row r="35" spans="1:4">
      <c r="A35" t="s">
        <v>36</v>
      </c>
      <c r="B35" s="11">
        <v>0.1387</v>
      </c>
      <c r="C35" s="11">
        <v>0.3325</v>
      </c>
      <c r="D35" s="11">
        <v>0.5288</v>
      </c>
    </row>
    <row r="36" spans="1:4">
      <c r="A36" t="s">
        <v>37</v>
      </c>
      <c r="B36" s="11">
        <v>0.0813</v>
      </c>
      <c r="C36" s="11">
        <v>0.3089</v>
      </c>
      <c r="D36" s="11">
        <v>0.6098</v>
      </c>
    </row>
    <row r="37" spans="1:4">
      <c r="A37" t="s">
        <v>38</v>
      </c>
      <c r="B37" s="11">
        <v>0.1308</v>
      </c>
      <c r="C37" s="11">
        <v>0.4539</v>
      </c>
      <c r="D37" s="11">
        <v>0.4153</v>
      </c>
    </row>
    <row r="38" spans="1:4">
      <c r="A38" t="s">
        <v>39</v>
      </c>
      <c r="B38" s="11">
        <v>0.0988</v>
      </c>
      <c r="C38" s="11">
        <v>0.3281</v>
      </c>
      <c r="D38" s="11">
        <v>0.5732</v>
      </c>
    </row>
    <row r="39" spans="1:4">
      <c r="A39" s="12" t="s">
        <v>40</v>
      </c>
      <c r="B39" s="15">
        <f>AVERAGE(B24:B38)</f>
        <v>0.107106666666667</v>
      </c>
      <c r="C39" s="15">
        <f>AVERAGE(C24:C38)</f>
        <v>0.362533333333333</v>
      </c>
      <c r="D39" s="15">
        <f>AVERAGE(D24:D38)</f>
        <v>0.53036</v>
      </c>
    </row>
    <row r="40" spans="1:4">
      <c r="A40" s="12" t="s">
        <v>41</v>
      </c>
      <c r="B40" s="15">
        <f>MEDIAN(B24:B38)</f>
        <v>0.1214</v>
      </c>
      <c r="C40" s="15">
        <f>MEDIAN(C24:C38)</f>
        <v>0.3694</v>
      </c>
      <c r="D40" s="15">
        <f>MEDIAN(D24:D38)</f>
        <v>0.5288</v>
      </c>
    </row>
    <row r="41" spans="1:4">
      <c r="A41" s="12" t="s">
        <v>42</v>
      </c>
      <c r="B41">
        <f>_xlfn.VAR.S(B24:B38)</f>
        <v>0.00492064066666667</v>
      </c>
      <c r="C41">
        <f>_xlfn.VAR.S(C24:C38)</f>
        <v>0.00225288238095238</v>
      </c>
      <c r="D41">
        <f>_xlfn.VAR.S(D24:D38)</f>
        <v>0.0118661354285714</v>
      </c>
    </row>
  </sheetData>
  <mergeCells count="2">
    <mergeCell ref="A1:D1"/>
    <mergeCell ref="A22:D2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topLeftCell="A9" workbookViewId="0">
      <selection activeCell="R19" sqref="R19"/>
    </sheetView>
  </sheetViews>
  <sheetFormatPr defaultColWidth="9" defaultRowHeight="13.5"/>
  <cols>
    <col min="1" max="1" width="15.125" customWidth="1"/>
    <col min="2" max="2" width="11.375" customWidth="1"/>
    <col min="3" max="3" width="14" customWidth="1"/>
    <col min="4" max="4" width="15.75" customWidth="1"/>
    <col min="5" max="5" width="12.125" customWidth="1"/>
    <col min="6" max="6" width="13.75" customWidth="1"/>
    <col min="7" max="7" width="13.875" customWidth="1"/>
    <col min="8" max="8" width="13.5" customWidth="1"/>
    <col min="9" max="9" width="13.25" customWidth="1"/>
    <col min="10" max="10" width="17.375" customWidth="1"/>
  </cols>
  <sheetData>
    <row r="1" ht="22" customHeight="1" spans="1:10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A2" s="2" t="s">
        <v>1</v>
      </c>
      <c r="B2" s="2" t="s">
        <v>44</v>
      </c>
      <c r="C2" s="2"/>
      <c r="D2" s="2"/>
      <c r="E2" s="2" t="s">
        <v>45</v>
      </c>
      <c r="F2" s="2"/>
      <c r="G2" s="2"/>
      <c r="H2" s="2" t="s">
        <v>46</v>
      </c>
      <c r="I2" s="2"/>
      <c r="J2" s="2"/>
      <c r="M2" s="6"/>
      <c r="N2" t="s">
        <v>47</v>
      </c>
    </row>
    <row r="3" spans="1:10">
      <c r="A3" s="2"/>
      <c r="B3" s="3" t="s">
        <v>48</v>
      </c>
      <c r="C3" s="3" t="s">
        <v>49</v>
      </c>
      <c r="D3" s="3" t="s">
        <v>50</v>
      </c>
      <c r="E3" s="3" t="s">
        <v>48</v>
      </c>
      <c r="F3" s="3" t="s">
        <v>49</v>
      </c>
      <c r="G3" s="3" t="s">
        <v>50</v>
      </c>
      <c r="H3" s="3" t="s">
        <v>48</v>
      </c>
      <c r="I3" s="3" t="s">
        <v>49</v>
      </c>
      <c r="J3" s="3" t="s">
        <v>50</v>
      </c>
    </row>
    <row r="4" spans="1:10">
      <c r="A4" t="s">
        <v>5</v>
      </c>
      <c r="B4" s="4" t="s">
        <v>51</v>
      </c>
      <c r="C4" s="5" t="s">
        <v>52</v>
      </c>
      <c r="D4" s="5" t="s">
        <v>53</v>
      </c>
      <c r="E4" s="5" t="s">
        <v>54</v>
      </c>
      <c r="F4" s="5" t="s">
        <v>55</v>
      </c>
      <c r="G4" s="5" t="s">
        <v>56</v>
      </c>
      <c r="H4" s="5" t="s">
        <v>57</v>
      </c>
      <c r="I4" s="5" t="s">
        <v>58</v>
      </c>
      <c r="J4" s="5" t="s">
        <v>59</v>
      </c>
    </row>
    <row r="5" spans="1:10">
      <c r="A5" t="s">
        <v>6</v>
      </c>
      <c r="B5" s="5">
        <v>1</v>
      </c>
      <c r="C5" s="5">
        <v>0.65</v>
      </c>
      <c r="D5" s="5">
        <v>1</v>
      </c>
      <c r="E5" s="5" t="s">
        <v>60</v>
      </c>
      <c r="F5" s="5" t="s">
        <v>61</v>
      </c>
      <c r="G5" s="5" t="s">
        <v>62</v>
      </c>
      <c r="H5" s="5" t="s">
        <v>57</v>
      </c>
      <c r="I5" s="5" t="s">
        <v>63</v>
      </c>
      <c r="J5" s="5" t="s">
        <v>64</v>
      </c>
    </row>
    <row r="6" spans="1:10">
      <c r="A6" t="s">
        <v>7</v>
      </c>
      <c r="B6" s="5">
        <v>1</v>
      </c>
      <c r="C6" s="5">
        <v>1</v>
      </c>
      <c r="D6" s="5">
        <v>1</v>
      </c>
      <c r="E6" s="5" t="s">
        <v>65</v>
      </c>
      <c r="F6" s="5" t="s">
        <v>66</v>
      </c>
      <c r="G6" s="5" t="s">
        <v>67</v>
      </c>
      <c r="H6" s="5" t="s">
        <v>57</v>
      </c>
      <c r="I6" s="5" t="s">
        <v>68</v>
      </c>
      <c r="J6" s="5" t="s">
        <v>64</v>
      </c>
    </row>
    <row r="7" spans="1:10">
      <c r="A7" t="s">
        <v>8</v>
      </c>
      <c r="B7" s="5" t="s">
        <v>69</v>
      </c>
      <c r="C7" s="5" t="s">
        <v>70</v>
      </c>
      <c r="D7" s="4" t="s">
        <v>71</v>
      </c>
      <c r="E7" s="5" t="s">
        <v>72</v>
      </c>
      <c r="F7" s="5" t="s">
        <v>73</v>
      </c>
      <c r="G7" s="5" t="s">
        <v>67</v>
      </c>
      <c r="H7" s="5" t="s">
        <v>57</v>
      </c>
      <c r="I7" s="5" t="s">
        <v>74</v>
      </c>
      <c r="J7" s="5" t="s">
        <v>64</v>
      </c>
    </row>
    <row r="8" spans="1:10">
      <c r="A8" s="6" t="s">
        <v>9</v>
      </c>
      <c r="B8" s="5" t="s">
        <v>75</v>
      </c>
      <c r="C8" s="5" t="s">
        <v>76</v>
      </c>
      <c r="D8" s="5" t="s">
        <v>77</v>
      </c>
      <c r="E8" s="7" t="s">
        <v>78</v>
      </c>
      <c r="F8" s="5" t="s">
        <v>79</v>
      </c>
      <c r="G8" s="5" t="s">
        <v>80</v>
      </c>
      <c r="H8" s="7" t="s">
        <v>58</v>
      </c>
      <c r="I8" s="5" t="s">
        <v>64</v>
      </c>
      <c r="J8" s="5" t="s">
        <v>57</v>
      </c>
    </row>
    <row r="9" spans="1:10">
      <c r="A9" s="6" t="s">
        <v>10</v>
      </c>
      <c r="B9" s="7" t="s">
        <v>81</v>
      </c>
      <c r="C9" s="5" t="s">
        <v>82</v>
      </c>
      <c r="D9" s="5" t="s">
        <v>83</v>
      </c>
      <c r="E9" s="5" t="s">
        <v>84</v>
      </c>
      <c r="F9" s="5" t="s">
        <v>85</v>
      </c>
      <c r="G9" s="5" t="s">
        <v>86</v>
      </c>
      <c r="H9" s="5" t="s">
        <v>87</v>
      </c>
      <c r="I9" s="5" t="s">
        <v>79</v>
      </c>
      <c r="J9" s="5" t="s">
        <v>88</v>
      </c>
    </row>
    <row r="10" spans="1:10">
      <c r="A10" t="s">
        <v>11</v>
      </c>
      <c r="B10" s="5" t="s">
        <v>89</v>
      </c>
      <c r="C10" s="5" t="s">
        <v>52</v>
      </c>
      <c r="D10" s="5" t="s">
        <v>90</v>
      </c>
      <c r="E10" s="5" t="s">
        <v>91</v>
      </c>
      <c r="F10" s="5" t="s">
        <v>92</v>
      </c>
      <c r="G10" s="5" t="s">
        <v>93</v>
      </c>
      <c r="H10" s="5" t="s">
        <v>57</v>
      </c>
      <c r="I10" s="5" t="s">
        <v>94</v>
      </c>
      <c r="J10" s="5" t="s">
        <v>91</v>
      </c>
    </row>
    <row r="11" spans="1:10">
      <c r="A11" t="s">
        <v>12</v>
      </c>
      <c r="B11" s="5" t="s">
        <v>95</v>
      </c>
      <c r="C11" s="5" t="s">
        <v>96</v>
      </c>
      <c r="D11" s="5" t="s">
        <v>97</v>
      </c>
      <c r="E11" s="5" t="s">
        <v>98</v>
      </c>
      <c r="F11" s="5" t="s">
        <v>99</v>
      </c>
      <c r="G11" s="5" t="s">
        <v>100</v>
      </c>
      <c r="H11" s="5" t="s">
        <v>57</v>
      </c>
      <c r="I11" s="5" t="s">
        <v>93</v>
      </c>
      <c r="J11" s="5" t="s">
        <v>101</v>
      </c>
    </row>
    <row r="12" spans="1:10">
      <c r="A12" t="s">
        <v>13</v>
      </c>
      <c r="B12" s="5" t="s">
        <v>102</v>
      </c>
      <c r="C12" s="5" t="s">
        <v>103</v>
      </c>
      <c r="D12" s="5" t="s">
        <v>104</v>
      </c>
      <c r="E12" s="5" t="s">
        <v>101</v>
      </c>
      <c r="F12" s="5" t="s">
        <v>105</v>
      </c>
      <c r="G12" s="5" t="s">
        <v>106</v>
      </c>
      <c r="H12" s="5" t="s">
        <v>107</v>
      </c>
      <c r="I12" s="5" t="s">
        <v>108</v>
      </c>
      <c r="J12" s="5" t="s">
        <v>109</v>
      </c>
    </row>
    <row r="13" spans="1:10">
      <c r="A13" t="s">
        <v>14</v>
      </c>
      <c r="B13" s="4" t="s">
        <v>110</v>
      </c>
      <c r="C13" s="5" t="s">
        <v>111</v>
      </c>
      <c r="D13" s="5" t="s">
        <v>112</v>
      </c>
      <c r="E13" s="5" t="s">
        <v>113</v>
      </c>
      <c r="F13" s="5" t="s">
        <v>114</v>
      </c>
      <c r="G13" s="5" t="s">
        <v>115</v>
      </c>
      <c r="H13" s="5" t="s">
        <v>57</v>
      </c>
      <c r="I13" s="5" t="s">
        <v>116</v>
      </c>
      <c r="J13" s="5" t="s">
        <v>59</v>
      </c>
    </row>
    <row r="14" spans="1:10">
      <c r="A14" t="s">
        <v>15</v>
      </c>
      <c r="B14" s="5">
        <v>1</v>
      </c>
      <c r="C14" s="5">
        <v>1</v>
      </c>
      <c r="D14" s="5">
        <v>1</v>
      </c>
      <c r="E14" s="5" t="s">
        <v>117</v>
      </c>
      <c r="F14" s="5" t="s">
        <v>118</v>
      </c>
      <c r="G14" s="5" t="s">
        <v>119</v>
      </c>
      <c r="H14" s="5" t="s">
        <v>120</v>
      </c>
      <c r="I14" s="5" t="s">
        <v>56</v>
      </c>
      <c r="J14" s="5" t="s">
        <v>121</v>
      </c>
    </row>
    <row r="15" spans="1:10">
      <c r="A15" t="s">
        <v>16</v>
      </c>
      <c r="B15" s="5" t="s">
        <v>122</v>
      </c>
      <c r="C15" s="5" t="s">
        <v>123</v>
      </c>
      <c r="D15" s="5" t="s">
        <v>124</v>
      </c>
      <c r="E15" s="5" t="s">
        <v>125</v>
      </c>
      <c r="F15" s="5" t="s">
        <v>78</v>
      </c>
      <c r="G15" s="5" t="s">
        <v>126</v>
      </c>
      <c r="H15" s="5" t="s">
        <v>120</v>
      </c>
      <c r="I15" s="5" t="s">
        <v>127</v>
      </c>
      <c r="J15" s="5" t="s">
        <v>113</v>
      </c>
    </row>
    <row r="16" spans="1:10">
      <c r="A16" t="s">
        <v>17</v>
      </c>
      <c r="B16" s="5" t="s">
        <v>128</v>
      </c>
      <c r="C16" s="5" t="s">
        <v>96</v>
      </c>
      <c r="D16" s="5" t="s">
        <v>129</v>
      </c>
      <c r="E16" s="5" t="s">
        <v>59</v>
      </c>
      <c r="F16" s="5" t="s">
        <v>130</v>
      </c>
      <c r="G16" s="5" t="s">
        <v>131</v>
      </c>
      <c r="H16" s="5" t="s">
        <v>57</v>
      </c>
      <c r="I16" s="5" t="s">
        <v>132</v>
      </c>
      <c r="J16" s="5" t="s">
        <v>133</v>
      </c>
    </row>
    <row r="17" spans="1:10">
      <c r="A17" s="6" t="s">
        <v>18</v>
      </c>
      <c r="B17" s="7" t="s">
        <v>115</v>
      </c>
      <c r="C17" s="5" t="s">
        <v>134</v>
      </c>
      <c r="D17" s="5" t="s">
        <v>135</v>
      </c>
      <c r="E17" s="5" t="s">
        <v>136</v>
      </c>
      <c r="F17" s="5" t="s">
        <v>137</v>
      </c>
      <c r="G17" s="5" t="s">
        <v>138</v>
      </c>
      <c r="H17" s="5" t="s">
        <v>139</v>
      </c>
      <c r="I17" s="5" t="s">
        <v>140</v>
      </c>
      <c r="J17" s="5" t="s">
        <v>64</v>
      </c>
    </row>
    <row r="18" spans="1:10">
      <c r="A18" t="s">
        <v>19</v>
      </c>
      <c r="B18" s="5" t="s">
        <v>141</v>
      </c>
      <c r="C18" s="5" t="s">
        <v>142</v>
      </c>
      <c r="D18" s="5" t="s">
        <v>143</v>
      </c>
      <c r="E18" s="5" t="s">
        <v>125</v>
      </c>
      <c r="F18" s="5" t="s">
        <v>92</v>
      </c>
      <c r="G18" s="5" t="s">
        <v>144</v>
      </c>
      <c r="H18" s="5" t="s">
        <v>120</v>
      </c>
      <c r="I18" s="5" t="s">
        <v>145</v>
      </c>
      <c r="J18" s="5" t="s">
        <v>146</v>
      </c>
    </row>
    <row r="19" ht="40.5" spans="1:10">
      <c r="A19" t="s">
        <v>147</v>
      </c>
      <c r="B19" s="8" t="s">
        <v>148</v>
      </c>
      <c r="C19" s="8" t="s">
        <v>149</v>
      </c>
      <c r="D19" s="8" t="s">
        <v>150</v>
      </c>
      <c r="E19" s="8" t="s">
        <v>151</v>
      </c>
      <c r="F19" s="8" t="s">
        <v>152</v>
      </c>
      <c r="G19" s="8" t="s">
        <v>153</v>
      </c>
      <c r="H19" s="8" t="s">
        <v>154</v>
      </c>
      <c r="I19" s="8" t="s">
        <v>155</v>
      </c>
      <c r="J19" s="8" t="s">
        <v>156</v>
      </c>
    </row>
    <row r="20" spans="1:10">
      <c r="A20" s="9" t="s">
        <v>157</v>
      </c>
      <c r="B20" s="10" t="s">
        <v>158</v>
      </c>
      <c r="C20" s="10" t="s">
        <v>159</v>
      </c>
      <c r="D20" s="10" t="s">
        <v>160</v>
      </c>
      <c r="E20" s="10" t="s">
        <v>161</v>
      </c>
      <c r="F20" s="10" t="s">
        <v>162</v>
      </c>
      <c r="G20" s="10" t="s">
        <v>163</v>
      </c>
      <c r="H20" s="10" t="s">
        <v>57</v>
      </c>
      <c r="I20" s="10" t="s">
        <v>164</v>
      </c>
      <c r="J20" s="10" t="s">
        <v>165</v>
      </c>
    </row>
    <row r="24" ht="19" customHeight="1" spans="1:10">
      <c r="A24" s="1" t="s">
        <v>43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2" t="s">
        <v>24</v>
      </c>
      <c r="B25" s="2" t="s">
        <v>44</v>
      </c>
      <c r="C25" s="2"/>
      <c r="D25" s="2"/>
      <c r="E25" s="2" t="s">
        <v>45</v>
      </c>
      <c r="F25" s="2"/>
      <c r="G25" s="2"/>
      <c r="H25" s="2" t="s">
        <v>46</v>
      </c>
      <c r="I25" s="2"/>
      <c r="J25" s="2"/>
    </row>
    <row r="26" spans="1:10">
      <c r="A26" s="2"/>
      <c r="B26" s="3" t="s">
        <v>48</v>
      </c>
      <c r="C26" s="3" t="s">
        <v>49</v>
      </c>
      <c r="D26" s="3" t="s">
        <v>50</v>
      </c>
      <c r="E26" s="3" t="s">
        <v>48</v>
      </c>
      <c r="F26" s="3" t="s">
        <v>49</v>
      </c>
      <c r="G26" s="3" t="s">
        <v>50</v>
      </c>
      <c r="H26" s="3" t="s">
        <v>48</v>
      </c>
      <c r="I26" s="3" t="s">
        <v>49</v>
      </c>
      <c r="J26" s="3" t="s">
        <v>50</v>
      </c>
    </row>
    <row r="27" spans="1:10">
      <c r="A27" t="s">
        <v>25</v>
      </c>
      <c r="B27" s="5" t="s">
        <v>166</v>
      </c>
      <c r="C27" s="5" t="s">
        <v>167</v>
      </c>
      <c r="D27" s="5" t="s">
        <v>168</v>
      </c>
      <c r="E27" s="5" t="s">
        <v>169</v>
      </c>
      <c r="F27" s="5" t="s">
        <v>170</v>
      </c>
      <c r="G27" s="5" t="s">
        <v>171</v>
      </c>
      <c r="H27" s="5" t="s">
        <v>57</v>
      </c>
      <c r="I27" s="5" t="s">
        <v>172</v>
      </c>
      <c r="J27" s="5" t="s">
        <v>173</v>
      </c>
    </row>
    <row r="28" spans="1:10">
      <c r="A28" t="s">
        <v>26</v>
      </c>
      <c r="B28" s="5" t="s">
        <v>174</v>
      </c>
      <c r="C28" s="5" t="s">
        <v>175</v>
      </c>
      <c r="D28" s="5" t="s">
        <v>176</v>
      </c>
      <c r="E28" s="5" t="s">
        <v>177</v>
      </c>
      <c r="F28" s="5" t="s">
        <v>178</v>
      </c>
      <c r="G28" s="5" t="s">
        <v>179</v>
      </c>
      <c r="H28" s="5" t="s">
        <v>139</v>
      </c>
      <c r="I28" s="5" t="s">
        <v>180</v>
      </c>
      <c r="J28" s="5" t="s">
        <v>165</v>
      </c>
    </row>
    <row r="29" spans="1:10">
      <c r="A29" t="s">
        <v>27</v>
      </c>
      <c r="B29" s="5" t="s">
        <v>181</v>
      </c>
      <c r="C29" s="5" t="s">
        <v>182</v>
      </c>
      <c r="D29" s="5" t="s">
        <v>183</v>
      </c>
      <c r="E29" s="5" t="s">
        <v>169</v>
      </c>
      <c r="F29" s="5" t="s">
        <v>184</v>
      </c>
      <c r="G29" s="5" t="s">
        <v>185</v>
      </c>
      <c r="H29" s="5" t="s">
        <v>57</v>
      </c>
      <c r="I29" s="5" t="s">
        <v>186</v>
      </c>
      <c r="J29" s="5" t="s">
        <v>165</v>
      </c>
    </row>
    <row r="30" spans="1:10">
      <c r="A30" t="s">
        <v>28</v>
      </c>
      <c r="B30" s="5" t="s">
        <v>187</v>
      </c>
      <c r="C30" s="5" t="s">
        <v>188</v>
      </c>
      <c r="D30" s="5" t="s">
        <v>189</v>
      </c>
      <c r="E30" s="5" t="s">
        <v>169</v>
      </c>
      <c r="F30" s="5" t="s">
        <v>190</v>
      </c>
      <c r="G30" s="5" t="s">
        <v>191</v>
      </c>
      <c r="H30" s="5" t="s">
        <v>57</v>
      </c>
      <c r="I30" s="5" t="s">
        <v>140</v>
      </c>
      <c r="J30" s="5" t="s">
        <v>192</v>
      </c>
    </row>
    <row r="31" spans="1:10">
      <c r="A31" t="s">
        <v>29</v>
      </c>
      <c r="B31" s="5" t="s">
        <v>193</v>
      </c>
      <c r="C31" s="5" t="s">
        <v>194</v>
      </c>
      <c r="D31" s="5" t="s">
        <v>195</v>
      </c>
      <c r="E31" s="5" t="s">
        <v>84</v>
      </c>
      <c r="F31" s="5" t="s">
        <v>196</v>
      </c>
      <c r="G31" s="5" t="s">
        <v>186</v>
      </c>
      <c r="H31" s="5" t="s">
        <v>87</v>
      </c>
      <c r="I31" s="5" t="s">
        <v>145</v>
      </c>
      <c r="J31" s="5" t="s">
        <v>197</v>
      </c>
    </row>
    <row r="32" spans="1:10">
      <c r="A32" t="s">
        <v>30</v>
      </c>
      <c r="B32" s="5" t="s">
        <v>198</v>
      </c>
      <c r="C32" s="5" t="s">
        <v>199</v>
      </c>
      <c r="D32" s="5" t="s">
        <v>200</v>
      </c>
      <c r="E32" s="5" t="s">
        <v>201</v>
      </c>
      <c r="F32" s="5" t="s">
        <v>202</v>
      </c>
      <c r="G32" s="5" t="s">
        <v>203</v>
      </c>
      <c r="H32" s="5" t="s">
        <v>113</v>
      </c>
      <c r="I32" s="5" t="s">
        <v>180</v>
      </c>
      <c r="J32" s="5" t="s">
        <v>204</v>
      </c>
    </row>
    <row r="33" spans="1:10">
      <c r="A33" t="s">
        <v>31</v>
      </c>
      <c r="B33" s="5" t="s">
        <v>140</v>
      </c>
      <c r="C33" s="5" t="s">
        <v>205</v>
      </c>
      <c r="D33" s="5" t="s">
        <v>206</v>
      </c>
      <c r="E33" s="5" t="s">
        <v>207</v>
      </c>
      <c r="F33" s="5" t="s">
        <v>208</v>
      </c>
      <c r="G33" s="5" t="s">
        <v>209</v>
      </c>
      <c r="H33" s="5" t="s">
        <v>169</v>
      </c>
      <c r="I33" s="5" t="s">
        <v>145</v>
      </c>
      <c r="J33" s="5" t="s">
        <v>210</v>
      </c>
    </row>
    <row r="34" spans="1:10">
      <c r="A34" t="s">
        <v>32</v>
      </c>
      <c r="B34" s="5" t="s">
        <v>211</v>
      </c>
      <c r="C34" s="5" t="s">
        <v>212</v>
      </c>
      <c r="D34" s="5" t="s">
        <v>213</v>
      </c>
      <c r="E34" s="5" t="s">
        <v>214</v>
      </c>
      <c r="F34" s="5" t="s">
        <v>215</v>
      </c>
      <c r="G34" s="5" t="s">
        <v>172</v>
      </c>
      <c r="H34" s="5" t="s">
        <v>146</v>
      </c>
      <c r="I34" s="5" t="s">
        <v>74</v>
      </c>
      <c r="J34" s="5" t="s">
        <v>109</v>
      </c>
    </row>
    <row r="35" spans="1:10">
      <c r="A35" t="s">
        <v>33</v>
      </c>
      <c r="B35" s="5" t="s">
        <v>145</v>
      </c>
      <c r="C35" s="5" t="s">
        <v>216</v>
      </c>
      <c r="D35" s="5" t="s">
        <v>217</v>
      </c>
      <c r="E35" s="5" t="s">
        <v>218</v>
      </c>
      <c r="F35" s="5" t="s">
        <v>219</v>
      </c>
      <c r="G35" s="5" t="s">
        <v>220</v>
      </c>
      <c r="H35" s="5" t="s">
        <v>169</v>
      </c>
      <c r="I35" s="5" t="s">
        <v>74</v>
      </c>
      <c r="J35" s="5" t="s">
        <v>210</v>
      </c>
    </row>
    <row r="36" spans="1:10">
      <c r="A36" t="s">
        <v>34</v>
      </c>
      <c r="B36" s="5" t="s">
        <v>221</v>
      </c>
      <c r="C36" s="5" t="s">
        <v>222</v>
      </c>
      <c r="D36" s="5" t="s">
        <v>223</v>
      </c>
      <c r="E36" s="5" t="s">
        <v>224</v>
      </c>
      <c r="F36" s="5" t="s">
        <v>215</v>
      </c>
      <c r="G36" s="5" t="s">
        <v>225</v>
      </c>
      <c r="H36" s="5" t="s">
        <v>173</v>
      </c>
      <c r="I36" s="5" t="s">
        <v>226</v>
      </c>
      <c r="J36" s="5" t="s">
        <v>109</v>
      </c>
    </row>
    <row r="37" spans="1:10">
      <c r="A37" t="s">
        <v>35</v>
      </c>
      <c r="B37" s="5" t="s">
        <v>227</v>
      </c>
      <c r="C37" s="5" t="s">
        <v>228</v>
      </c>
      <c r="D37" s="5" t="s">
        <v>229</v>
      </c>
      <c r="E37" s="5" t="s">
        <v>230</v>
      </c>
      <c r="F37" s="5" t="s">
        <v>231</v>
      </c>
      <c r="G37" s="5" t="s">
        <v>232</v>
      </c>
      <c r="H37" s="5" t="s">
        <v>169</v>
      </c>
      <c r="I37" s="5" t="s">
        <v>172</v>
      </c>
      <c r="J37" s="5" t="s">
        <v>64</v>
      </c>
    </row>
    <row r="38" spans="1:10">
      <c r="A38" t="s">
        <v>36</v>
      </c>
      <c r="B38" s="5" t="s">
        <v>233</v>
      </c>
      <c r="C38" s="5" t="s">
        <v>234</v>
      </c>
      <c r="D38" s="5" t="s">
        <v>235</v>
      </c>
      <c r="E38" s="5" t="s">
        <v>207</v>
      </c>
      <c r="F38" s="5" t="s">
        <v>130</v>
      </c>
      <c r="G38" s="5" t="s">
        <v>233</v>
      </c>
      <c r="H38" s="5" t="s">
        <v>169</v>
      </c>
      <c r="I38" s="5" t="s">
        <v>180</v>
      </c>
      <c r="J38" s="5" t="s">
        <v>101</v>
      </c>
    </row>
    <row r="39" spans="1:10">
      <c r="A39" t="s">
        <v>37</v>
      </c>
      <c r="B39" s="5" t="s">
        <v>236</v>
      </c>
      <c r="C39" s="5" t="s">
        <v>237</v>
      </c>
      <c r="D39" s="5" t="s">
        <v>238</v>
      </c>
      <c r="E39" s="5" t="s">
        <v>239</v>
      </c>
      <c r="F39" s="5" t="s">
        <v>240</v>
      </c>
      <c r="G39" s="5" t="s">
        <v>241</v>
      </c>
      <c r="H39" s="5" t="s">
        <v>87</v>
      </c>
      <c r="I39" s="5" t="s">
        <v>140</v>
      </c>
      <c r="J39" s="5" t="s">
        <v>242</v>
      </c>
    </row>
    <row r="40" spans="1:10">
      <c r="A40" t="s">
        <v>38</v>
      </c>
      <c r="B40" s="5" t="s">
        <v>243</v>
      </c>
      <c r="C40" s="5" t="s">
        <v>244</v>
      </c>
      <c r="D40" s="5" t="s">
        <v>245</v>
      </c>
      <c r="E40" s="5" t="s">
        <v>84</v>
      </c>
      <c r="F40" s="5" t="s">
        <v>73</v>
      </c>
      <c r="G40" s="5" t="s">
        <v>246</v>
      </c>
      <c r="H40" s="5" t="s">
        <v>87</v>
      </c>
      <c r="I40" s="5" t="s">
        <v>145</v>
      </c>
      <c r="J40" s="5" t="s">
        <v>247</v>
      </c>
    </row>
    <row r="41" spans="1:10">
      <c r="A41" t="s">
        <v>39</v>
      </c>
      <c r="B41" s="5" t="s">
        <v>248</v>
      </c>
      <c r="C41" s="5" t="s">
        <v>249</v>
      </c>
      <c r="D41" s="5" t="s">
        <v>250</v>
      </c>
      <c r="E41" s="5" t="s">
        <v>251</v>
      </c>
      <c r="F41" s="5" t="s">
        <v>202</v>
      </c>
      <c r="G41" s="5" t="s">
        <v>180</v>
      </c>
      <c r="H41" s="5" t="s">
        <v>139</v>
      </c>
      <c r="I41" s="5" t="s">
        <v>252</v>
      </c>
      <c r="J41" s="5" t="s">
        <v>242</v>
      </c>
    </row>
    <row r="42" ht="40.5" spans="1:10">
      <c r="A42" t="s">
        <v>147</v>
      </c>
      <c r="B42" s="8" t="s">
        <v>253</v>
      </c>
      <c r="C42" s="8" t="s">
        <v>149</v>
      </c>
      <c r="D42" s="8" t="s">
        <v>150</v>
      </c>
      <c r="E42" s="8" t="s">
        <v>151</v>
      </c>
      <c r="F42" s="8" t="s">
        <v>152</v>
      </c>
      <c r="G42" s="8" t="s">
        <v>153</v>
      </c>
      <c r="H42" s="8" t="s">
        <v>154</v>
      </c>
      <c r="I42" s="8" t="s">
        <v>155</v>
      </c>
      <c r="J42" s="8" t="s">
        <v>156</v>
      </c>
    </row>
    <row r="43" ht="16" customHeight="1" spans="1:10">
      <c r="A43" s="9" t="s">
        <v>157</v>
      </c>
      <c r="B43" s="10" t="s">
        <v>58</v>
      </c>
      <c r="C43" s="10" t="s">
        <v>216</v>
      </c>
      <c r="D43" s="10" t="s">
        <v>254</v>
      </c>
      <c r="E43" s="10" t="s">
        <v>255</v>
      </c>
      <c r="F43" s="10" t="s">
        <v>208</v>
      </c>
      <c r="G43" s="10" t="s">
        <v>186</v>
      </c>
      <c r="H43" s="10" t="s">
        <v>256</v>
      </c>
      <c r="I43" s="10" t="s">
        <v>257</v>
      </c>
      <c r="J43" s="10" t="s">
        <v>197</v>
      </c>
    </row>
  </sheetData>
  <mergeCells count="10">
    <mergeCell ref="A1:J1"/>
    <mergeCell ref="B2:D2"/>
    <mergeCell ref="E2:G2"/>
    <mergeCell ref="H2:J2"/>
    <mergeCell ref="A24:J24"/>
    <mergeCell ref="B25:D25"/>
    <mergeCell ref="E25:G25"/>
    <mergeCell ref="H25:J25"/>
    <mergeCell ref="A2:A3"/>
    <mergeCell ref="A25:A2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各类数量与占比</vt:lpstr>
      <vt:lpstr>数值区间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神·大头</cp:lastModifiedBy>
  <dcterms:created xsi:type="dcterms:W3CDTF">2025-03-05T13:06:00Z</dcterms:created>
  <dcterms:modified xsi:type="dcterms:W3CDTF">2025-03-09T13:28:35Z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C8733602978344A6840EC4B162E71DC9_11</vt:lpwstr>
  </property>
  <property fmtid="{D5CDD505-2E9C-101B-9397-08002B2CF9AE}" pid="3" name="KSOProductBuildVer">
    <vt:lpwstr>2052-12.1.0.20305</vt:lpwstr>
  </property>
</Properties>
</file>