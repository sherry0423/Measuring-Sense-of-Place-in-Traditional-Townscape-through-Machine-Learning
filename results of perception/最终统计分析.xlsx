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大类" sheetId="1" r:id="rId1"/>
    <sheet name="小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<sst xmlns="http://schemas.openxmlformats.org/spreadsheetml/2006/main" count="91" uniqueCount="26">
  <si>
    <t>类别</t>
  </si>
  <si>
    <t>乌镇</t>
  </si>
  <si>
    <t>蟠龙天地</t>
  </si>
  <si>
    <t>吉祥里</t>
  </si>
  <si>
    <t>公共设施</t>
  </si>
  <si>
    <t>文化风貌</t>
  </si>
  <si>
    <t>行为活动</t>
  </si>
  <si>
    <t>评价感受</t>
  </si>
  <si>
    <t>平均得分</t>
  </si>
  <si>
    <t>归一化</t>
  </si>
  <si>
    <t>大类</t>
  </si>
  <si>
    <t>小类</t>
  </si>
  <si>
    <t>建筑功能</t>
  </si>
  <si>
    <t>建筑空间</t>
  </si>
  <si>
    <t>配套设施</t>
  </si>
  <si>
    <t>自然景观</t>
  </si>
  <si>
    <t>建筑风貌</t>
  </si>
  <si>
    <t>特色文化</t>
  </si>
  <si>
    <t>特色美食</t>
  </si>
  <si>
    <t>古镇美誉</t>
  </si>
  <si>
    <t>开发评价</t>
  </si>
  <si>
    <t>合乎常理，乌镇的开发强度较低</t>
  </si>
  <si>
    <t>氛围感受</t>
  </si>
  <si>
    <t>情感共鸣</t>
  </si>
  <si>
    <t>大类得分</t>
  </si>
  <si>
    <t>100分制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</si>
</sst>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大类!$B$12</c:f>
              <c:strCache>
                <c:ptCount val="1"/>
                <c:pt idx="0">
                  <c:v>乌镇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大类!$A$13:$A$16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大类!$B$13:$B$16</c:f>
              <c:numCache>
                <c:formatCode>General</c:formatCode>
                <c:ptCount val="4"/>
                <c:pt idx="0">
                  <c:v>78.4881502890173</c:v>
                </c:pt>
                <c:pt idx="1">
                  <c:v>87.024174528302</c:v>
                </c:pt>
                <c:pt idx="2">
                  <c:v>75.681220657277</c:v>
                </c:pt>
                <c:pt idx="3">
                  <c:v>81.3497663551403</c:v>
                </c:pt>
              </c:numCache>
            </c:numRef>
          </c:val>
        </c:ser>
        <c:ser>
          <c:idx val="1"/>
          <c:order val="1"/>
          <c:tx>
            <c:strRef>
              <c:f>大类!$C$12</c:f>
              <c:strCache>
                <c:ptCount val="1"/>
                <c:pt idx="0">
                  <c:v>蟠龙天地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大类!$A$13:$A$16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大类!$C$13:$C$16</c:f>
              <c:numCache>
                <c:formatCode>General</c:formatCode>
                <c:ptCount val="4"/>
                <c:pt idx="0">
                  <c:v>75.0633952254641</c:v>
                </c:pt>
                <c:pt idx="1">
                  <c:v>84.6832786885246</c:v>
                </c:pt>
                <c:pt idx="2">
                  <c:v>74.4190476190476</c:v>
                </c:pt>
                <c:pt idx="3">
                  <c:v>81.3161592505855</c:v>
                </c:pt>
              </c:numCache>
            </c:numRef>
          </c:val>
        </c:ser>
        <c:ser>
          <c:idx val="2"/>
          <c:order val="2"/>
          <c:tx>
            <c:strRef>
              <c:f>大类!$D$12</c:f>
              <c:strCache>
                <c:ptCount val="1"/>
                <c:pt idx="0">
                  <c:v>吉祥里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大类!$A$13:$A$16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大类!$D$13:$D$16</c:f>
              <c:numCache>
                <c:formatCode>General</c:formatCode>
                <c:ptCount val="4"/>
                <c:pt idx="0">
                  <c:v>74.5128318584071</c:v>
                </c:pt>
                <c:pt idx="1">
                  <c:v>83.2866197183098</c:v>
                </c:pt>
                <c:pt idx="2">
                  <c:v>70.9284482758621</c:v>
                </c:pt>
                <c:pt idx="3">
                  <c:v>77.0068807339449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0921"/>
        <c:axId val="871052493"/>
      </c:radarChart>
      <c:catAx>
        <c:axId val="225609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1052493"/>
        <c:crosses val="autoZero"/>
        <c:auto val="1"/>
        <c:lblAlgn val="ctr"/>
        <c:lblOffset val="100"/>
        <c:noMultiLvlLbl val="0"/>
      </c:catAx>
      <c:valAx>
        <c:axId val="871052493"/>
        <c:scaling>
          <c:orientation val="minMax"/>
          <c:max val="9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609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7f9487-88c2-4d7a-ae7e-5aa8ca6f79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大类!$B$38</c:f>
              <c:strCache>
                <c:ptCount val="1"/>
                <c:pt idx="0">
                  <c:v>乌镇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大类!$A$39:$A$42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大类!$B$39:$B$42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大类!$C$38</c:f>
              <c:strCache>
                <c:ptCount val="1"/>
                <c:pt idx="0">
                  <c:v>蟠龙天地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大类!$A$39:$A$42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大类!$C$39:$C$42</c:f>
              <c:numCache>
                <c:formatCode>General</c:formatCode>
                <c:ptCount val="4"/>
                <c:pt idx="0">
                  <c:v>0.138495412799549</c:v>
                </c:pt>
                <c:pt idx="1">
                  <c:v>0.373682538776642</c:v>
                </c:pt>
                <c:pt idx="2">
                  <c:v>0.734434360213645</c:v>
                </c:pt>
                <c:pt idx="3">
                  <c:v>0.992261572722346</c:v>
                </c:pt>
              </c:numCache>
            </c:numRef>
          </c:val>
        </c:ser>
        <c:ser>
          <c:idx val="2"/>
          <c:order val="2"/>
          <c:tx>
            <c:strRef>
              <c:f>大类!$D$38</c:f>
              <c:strCache>
                <c:ptCount val="1"/>
                <c:pt idx="0">
                  <c:v>吉祥里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大类!$A$39:$A$42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大类!$D$39:$D$42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08386"/>
        <c:axId val="536963721"/>
      </c:radarChart>
      <c:catAx>
        <c:axId val="1440083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963721"/>
        <c:crosses val="autoZero"/>
        <c:auto val="1"/>
        <c:lblAlgn val="ctr"/>
        <c:lblOffset val="100"/>
        <c:noMultiLvlLbl val="0"/>
      </c:catAx>
      <c:valAx>
        <c:axId val="536963721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08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小类!$C$29</c:f>
              <c:strCache>
                <c:ptCount val="1"/>
                <c:pt idx="0">
                  <c:v>乌镇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小类!$B$30:$B$41</c:f>
              <c:strCache>
                <c:ptCount val="12"/>
                <c:pt idx="0">
                  <c:v>建筑功能</c:v>
                </c:pt>
                <c:pt idx="1">
                  <c:v>建筑空间</c:v>
                </c:pt>
                <c:pt idx="2">
                  <c:v>配套设施</c:v>
                </c:pt>
                <c:pt idx="3">
                  <c:v>自然景观</c:v>
                </c:pt>
                <c:pt idx="4">
                  <c:v>建筑风貌</c:v>
                </c:pt>
                <c:pt idx="5">
                  <c:v>特色文化</c:v>
                </c:pt>
                <c:pt idx="6">
                  <c:v>特色美食</c:v>
                </c:pt>
                <c:pt idx="7">
                  <c:v>古镇美誉</c:v>
                </c:pt>
                <c:pt idx="8">
                  <c:v>行为活动</c:v>
                </c:pt>
                <c:pt idx="9">
                  <c:v>开发评价</c:v>
                </c:pt>
                <c:pt idx="10">
                  <c:v>氛围感受</c:v>
                </c:pt>
                <c:pt idx="11">
                  <c:v>情感共鸣</c:v>
                </c:pt>
              </c:strCache>
            </c:strRef>
          </c:cat>
          <c:val>
            <c:numRef>
              <c:f>小类!$C$30:$C$41</c:f>
              <c:numCache>
                <c:formatCode>General</c:formatCode>
                <c:ptCount val="12"/>
                <c:pt idx="0">
                  <c:v>78.2468750000001</c:v>
                </c:pt>
                <c:pt idx="1">
                  <c:v>65.8894736842105</c:v>
                </c:pt>
                <c:pt idx="2">
                  <c:v>67.0961165048544</c:v>
                </c:pt>
                <c:pt idx="3">
                  <c:v>78.5489898989899</c:v>
                </c:pt>
                <c:pt idx="4">
                  <c:v>82.2792307692308</c:v>
                </c:pt>
                <c:pt idx="5">
                  <c:v>77.3163265306122</c:v>
                </c:pt>
                <c:pt idx="6">
                  <c:v>81.6991266375546</c:v>
                </c:pt>
                <c:pt idx="7">
                  <c:v>70.7285714285714</c:v>
                </c:pt>
                <c:pt idx="8">
                  <c:v>75.681220657277</c:v>
                </c:pt>
                <c:pt idx="9">
                  <c:v>60.4784615384615</c:v>
                </c:pt>
                <c:pt idx="10">
                  <c:v>80.7633744855968</c:v>
                </c:pt>
                <c:pt idx="11">
                  <c:v>75.8025</c:v>
                </c:pt>
              </c:numCache>
            </c:numRef>
          </c:val>
        </c:ser>
        <c:ser>
          <c:idx val="1"/>
          <c:order val="1"/>
          <c:tx>
            <c:strRef>
              <c:f>小类!$D$29</c:f>
              <c:strCache>
                <c:ptCount val="1"/>
                <c:pt idx="0">
                  <c:v>蟠龙天地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小类!$B$30:$B$41</c:f>
              <c:strCache>
                <c:ptCount val="12"/>
                <c:pt idx="0">
                  <c:v>建筑功能</c:v>
                </c:pt>
                <c:pt idx="1">
                  <c:v>建筑空间</c:v>
                </c:pt>
                <c:pt idx="2">
                  <c:v>配套设施</c:v>
                </c:pt>
                <c:pt idx="3">
                  <c:v>自然景观</c:v>
                </c:pt>
                <c:pt idx="4">
                  <c:v>建筑风貌</c:v>
                </c:pt>
                <c:pt idx="5">
                  <c:v>特色文化</c:v>
                </c:pt>
                <c:pt idx="6">
                  <c:v>特色美食</c:v>
                </c:pt>
                <c:pt idx="7">
                  <c:v>古镇美誉</c:v>
                </c:pt>
                <c:pt idx="8">
                  <c:v>行为活动</c:v>
                </c:pt>
                <c:pt idx="9">
                  <c:v>开发评价</c:v>
                </c:pt>
                <c:pt idx="10">
                  <c:v>氛围感受</c:v>
                </c:pt>
                <c:pt idx="11">
                  <c:v>情感共鸣</c:v>
                </c:pt>
              </c:strCache>
            </c:strRef>
          </c:cat>
          <c:val>
            <c:numRef>
              <c:f>小类!$D$30:$D$41</c:f>
              <c:numCache>
                <c:formatCode>General</c:formatCode>
                <c:ptCount val="12"/>
                <c:pt idx="0">
                  <c:v>73.9097222222222</c:v>
                </c:pt>
                <c:pt idx="1">
                  <c:v>63.7365853658537</c:v>
                </c:pt>
                <c:pt idx="2">
                  <c:v>68.4725</c:v>
                </c:pt>
                <c:pt idx="3">
                  <c:v>79.9539877300614</c:v>
                </c:pt>
                <c:pt idx="4">
                  <c:v>81.3654054054054</c:v>
                </c:pt>
                <c:pt idx="5">
                  <c:v>71.0987804878049</c:v>
                </c:pt>
                <c:pt idx="6">
                  <c:v>79.4297468354431</c:v>
                </c:pt>
                <c:pt idx="7">
                  <c:v>73.8181818181818</c:v>
                </c:pt>
                <c:pt idx="8">
                  <c:v>74.4190476190476</c:v>
                </c:pt>
                <c:pt idx="9">
                  <c:v>64.3172043010753</c:v>
                </c:pt>
                <c:pt idx="10">
                  <c:v>81.1394308943089</c:v>
                </c:pt>
                <c:pt idx="11">
                  <c:v>71.8795454545455</c:v>
                </c:pt>
              </c:numCache>
            </c:numRef>
          </c:val>
        </c:ser>
        <c:ser>
          <c:idx val="2"/>
          <c:order val="2"/>
          <c:tx>
            <c:strRef>
              <c:f>小类!$E$29</c:f>
              <c:strCache>
                <c:ptCount val="1"/>
                <c:pt idx="0">
                  <c:v>吉祥里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小类!$B$30:$B$41</c:f>
              <c:strCache>
                <c:ptCount val="12"/>
                <c:pt idx="0">
                  <c:v>建筑功能</c:v>
                </c:pt>
                <c:pt idx="1">
                  <c:v>建筑空间</c:v>
                </c:pt>
                <c:pt idx="2">
                  <c:v>配套设施</c:v>
                </c:pt>
                <c:pt idx="3">
                  <c:v>自然景观</c:v>
                </c:pt>
                <c:pt idx="4">
                  <c:v>建筑风貌</c:v>
                </c:pt>
                <c:pt idx="5">
                  <c:v>特色文化</c:v>
                </c:pt>
                <c:pt idx="6">
                  <c:v>特色美食</c:v>
                </c:pt>
                <c:pt idx="7">
                  <c:v>古镇美誉</c:v>
                </c:pt>
                <c:pt idx="8">
                  <c:v>行为活动</c:v>
                </c:pt>
                <c:pt idx="9">
                  <c:v>开发评价</c:v>
                </c:pt>
                <c:pt idx="10">
                  <c:v>氛围感受</c:v>
                </c:pt>
                <c:pt idx="11">
                  <c:v>情感共鸣</c:v>
                </c:pt>
              </c:strCache>
            </c:strRef>
          </c:cat>
          <c:val>
            <c:numRef>
              <c:f>小类!$E$30:$E$41</c:f>
              <c:numCache>
                <c:formatCode>General</c:formatCode>
                <c:ptCount val="12"/>
                <c:pt idx="0">
                  <c:v>74.6660377358491</c:v>
                </c:pt>
                <c:pt idx="1">
                  <c:v>61.595652173913</c:v>
                </c:pt>
                <c:pt idx="2">
                  <c:v>63.35</c:v>
                </c:pt>
                <c:pt idx="3">
                  <c:v>75.2611940298507</c:v>
                </c:pt>
                <c:pt idx="4">
                  <c:v>79.395652173913</c:v>
                </c:pt>
                <c:pt idx="5">
                  <c:v>76.3191304347826</c:v>
                </c:pt>
                <c:pt idx="6">
                  <c:v>78.7636363636364</c:v>
                </c:pt>
                <c:pt idx="7">
                  <c:v>67.95</c:v>
                </c:pt>
                <c:pt idx="8">
                  <c:v>70.9284482758621</c:v>
                </c:pt>
                <c:pt idx="9">
                  <c:v>63.2066666666667</c:v>
                </c:pt>
                <c:pt idx="10">
                  <c:v>75.7072072072072</c:v>
                </c:pt>
                <c:pt idx="11">
                  <c:v>72.6584415584415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74456"/>
        <c:axId val="785533870"/>
      </c:radarChart>
      <c:catAx>
        <c:axId val="197874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533870"/>
        <c:crosses val="autoZero"/>
        <c:auto val="1"/>
        <c:lblAlgn val="ctr"/>
        <c:lblOffset val="100"/>
        <c:noMultiLvlLbl val="0"/>
      </c:catAx>
      <c:valAx>
        <c:axId val="785533870"/>
        <c:scaling>
          <c:orientation val="minMax"/>
          <c:max val="85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87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小类!$C$29</c:f>
              <c:strCache>
                <c:ptCount val="1"/>
                <c:pt idx="0">
                  <c:v>乌镇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小类!$A$30:$B$41</c:f>
              <c:multiLvlStrCache>
                <c:ptCount val="12"/>
                <c:lvl>
                  <c:pt idx="0">
                    <c:v>建筑功能</c:v>
                  </c:pt>
                  <c:pt idx="1">
                    <c:v>建筑空间</c:v>
                  </c:pt>
                  <c:pt idx="2">
                    <c:v>配套设施</c:v>
                  </c:pt>
                  <c:pt idx="3">
                    <c:v>自然景观</c:v>
                  </c:pt>
                  <c:pt idx="4">
                    <c:v>建筑风貌</c:v>
                  </c:pt>
                  <c:pt idx="5">
                    <c:v>特色文化</c:v>
                  </c:pt>
                  <c:pt idx="6">
                    <c:v>特色美食</c:v>
                  </c:pt>
                  <c:pt idx="7">
                    <c:v>古镇美誉</c:v>
                  </c:pt>
                  <c:pt idx="8">
                    <c:v>行为活动</c:v>
                  </c:pt>
                  <c:pt idx="9">
                    <c:v>开发评价</c:v>
                  </c:pt>
                  <c:pt idx="10">
                    <c:v>氛围感受</c:v>
                  </c:pt>
                  <c:pt idx="11">
                    <c:v>情感共鸣</c:v>
                  </c:pt>
                </c:lvl>
                <c:lvl>
                  <c:pt idx="0">
                    <c:v>公共设施</c:v>
                  </c:pt>
                  <c:pt idx="3">
                    <c:v>文化风貌</c:v>
                  </c:pt>
                  <c:pt idx="8">
                    <c:v>行为活动</c:v>
                  </c:pt>
                  <c:pt idx="9">
                    <c:v>评价感受</c:v>
                  </c:pt>
                </c:lvl>
              </c:multiLvlStrCache>
            </c:multiLvlStrRef>
          </c:cat>
          <c:val>
            <c:numRef>
              <c:f>小类!$C$30:$C$41</c:f>
              <c:numCache>
                <c:formatCode>General</c:formatCode>
                <c:ptCount val="12"/>
                <c:pt idx="0">
                  <c:v>78.2468750000001</c:v>
                </c:pt>
                <c:pt idx="1">
                  <c:v>65.8894736842105</c:v>
                </c:pt>
                <c:pt idx="2">
                  <c:v>67.0961165048544</c:v>
                </c:pt>
                <c:pt idx="3">
                  <c:v>78.5489898989899</c:v>
                </c:pt>
                <c:pt idx="4">
                  <c:v>82.2792307692308</c:v>
                </c:pt>
                <c:pt idx="5">
                  <c:v>77.3163265306122</c:v>
                </c:pt>
                <c:pt idx="6">
                  <c:v>81.6991266375546</c:v>
                </c:pt>
                <c:pt idx="7">
                  <c:v>70.7285714285714</c:v>
                </c:pt>
                <c:pt idx="8">
                  <c:v>75.681220657277</c:v>
                </c:pt>
                <c:pt idx="9">
                  <c:v>60.4784615384615</c:v>
                </c:pt>
                <c:pt idx="10">
                  <c:v>80.7633744855968</c:v>
                </c:pt>
                <c:pt idx="11">
                  <c:v>75.8025</c:v>
                </c:pt>
              </c:numCache>
            </c:numRef>
          </c:val>
        </c:ser>
        <c:ser>
          <c:idx val="1"/>
          <c:order val="1"/>
          <c:tx>
            <c:strRef>
              <c:f>小类!$D$29</c:f>
              <c:strCache>
                <c:ptCount val="1"/>
                <c:pt idx="0">
                  <c:v>蟠龙天地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小类!$A$30:$B$41</c:f>
              <c:multiLvlStrCache>
                <c:ptCount val="12"/>
                <c:lvl>
                  <c:pt idx="0">
                    <c:v>建筑功能</c:v>
                  </c:pt>
                  <c:pt idx="1">
                    <c:v>建筑空间</c:v>
                  </c:pt>
                  <c:pt idx="2">
                    <c:v>配套设施</c:v>
                  </c:pt>
                  <c:pt idx="3">
                    <c:v>自然景观</c:v>
                  </c:pt>
                  <c:pt idx="4">
                    <c:v>建筑风貌</c:v>
                  </c:pt>
                  <c:pt idx="5">
                    <c:v>特色文化</c:v>
                  </c:pt>
                  <c:pt idx="6">
                    <c:v>特色美食</c:v>
                  </c:pt>
                  <c:pt idx="7">
                    <c:v>古镇美誉</c:v>
                  </c:pt>
                  <c:pt idx="8">
                    <c:v>行为活动</c:v>
                  </c:pt>
                  <c:pt idx="9">
                    <c:v>开发评价</c:v>
                  </c:pt>
                  <c:pt idx="10">
                    <c:v>氛围感受</c:v>
                  </c:pt>
                  <c:pt idx="11">
                    <c:v>情感共鸣</c:v>
                  </c:pt>
                </c:lvl>
                <c:lvl>
                  <c:pt idx="0">
                    <c:v>公共设施</c:v>
                  </c:pt>
                  <c:pt idx="3">
                    <c:v>文化风貌</c:v>
                  </c:pt>
                  <c:pt idx="8">
                    <c:v>行为活动</c:v>
                  </c:pt>
                  <c:pt idx="9">
                    <c:v>评价感受</c:v>
                  </c:pt>
                </c:lvl>
              </c:multiLvlStrCache>
            </c:multiLvlStrRef>
          </c:cat>
          <c:val>
            <c:numRef>
              <c:f>小类!$D$30:$D$41</c:f>
              <c:numCache>
                <c:formatCode>General</c:formatCode>
                <c:ptCount val="12"/>
                <c:pt idx="0">
                  <c:v>73.9097222222222</c:v>
                </c:pt>
                <c:pt idx="1">
                  <c:v>63.7365853658537</c:v>
                </c:pt>
                <c:pt idx="2">
                  <c:v>68.4725</c:v>
                </c:pt>
                <c:pt idx="3">
                  <c:v>79.9539877300614</c:v>
                </c:pt>
                <c:pt idx="4">
                  <c:v>81.3654054054054</c:v>
                </c:pt>
                <c:pt idx="5">
                  <c:v>71.0987804878049</c:v>
                </c:pt>
                <c:pt idx="6">
                  <c:v>79.4297468354431</c:v>
                </c:pt>
                <c:pt idx="7">
                  <c:v>73.8181818181818</c:v>
                </c:pt>
                <c:pt idx="8">
                  <c:v>74.4190476190476</c:v>
                </c:pt>
                <c:pt idx="9">
                  <c:v>64.3172043010753</c:v>
                </c:pt>
                <c:pt idx="10">
                  <c:v>81.1394308943089</c:v>
                </c:pt>
                <c:pt idx="11">
                  <c:v>71.8795454545455</c:v>
                </c:pt>
              </c:numCache>
            </c:numRef>
          </c:val>
        </c:ser>
        <c:ser>
          <c:idx val="2"/>
          <c:order val="2"/>
          <c:tx>
            <c:strRef>
              <c:f>小类!$E$29</c:f>
              <c:strCache>
                <c:ptCount val="1"/>
                <c:pt idx="0">
                  <c:v>吉祥里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小类!$A$30:$B$41</c:f>
              <c:multiLvlStrCache>
                <c:ptCount val="12"/>
                <c:lvl>
                  <c:pt idx="0">
                    <c:v>建筑功能</c:v>
                  </c:pt>
                  <c:pt idx="1">
                    <c:v>建筑空间</c:v>
                  </c:pt>
                  <c:pt idx="2">
                    <c:v>配套设施</c:v>
                  </c:pt>
                  <c:pt idx="3">
                    <c:v>自然景观</c:v>
                  </c:pt>
                  <c:pt idx="4">
                    <c:v>建筑风貌</c:v>
                  </c:pt>
                  <c:pt idx="5">
                    <c:v>特色文化</c:v>
                  </c:pt>
                  <c:pt idx="6">
                    <c:v>特色美食</c:v>
                  </c:pt>
                  <c:pt idx="7">
                    <c:v>古镇美誉</c:v>
                  </c:pt>
                  <c:pt idx="8">
                    <c:v>行为活动</c:v>
                  </c:pt>
                  <c:pt idx="9">
                    <c:v>开发评价</c:v>
                  </c:pt>
                  <c:pt idx="10">
                    <c:v>氛围感受</c:v>
                  </c:pt>
                  <c:pt idx="11">
                    <c:v>情感共鸣</c:v>
                  </c:pt>
                </c:lvl>
                <c:lvl>
                  <c:pt idx="0">
                    <c:v>公共设施</c:v>
                  </c:pt>
                  <c:pt idx="3">
                    <c:v>文化风貌</c:v>
                  </c:pt>
                  <c:pt idx="8">
                    <c:v>行为活动</c:v>
                  </c:pt>
                  <c:pt idx="9">
                    <c:v>评价感受</c:v>
                  </c:pt>
                </c:lvl>
              </c:multiLvlStrCache>
            </c:multiLvlStrRef>
          </c:cat>
          <c:val>
            <c:numRef>
              <c:f>小类!$E$30:$E$41</c:f>
              <c:numCache>
                <c:formatCode>General</c:formatCode>
                <c:ptCount val="12"/>
                <c:pt idx="0">
                  <c:v>74.6660377358491</c:v>
                </c:pt>
                <c:pt idx="1">
                  <c:v>61.595652173913</c:v>
                </c:pt>
                <c:pt idx="2">
                  <c:v>63.35</c:v>
                </c:pt>
                <c:pt idx="3">
                  <c:v>75.2611940298507</c:v>
                </c:pt>
                <c:pt idx="4">
                  <c:v>79.395652173913</c:v>
                </c:pt>
                <c:pt idx="5">
                  <c:v>76.3191304347826</c:v>
                </c:pt>
                <c:pt idx="6">
                  <c:v>78.7636363636364</c:v>
                </c:pt>
                <c:pt idx="7">
                  <c:v>67.95</c:v>
                </c:pt>
                <c:pt idx="8">
                  <c:v>70.9284482758621</c:v>
                </c:pt>
                <c:pt idx="9">
                  <c:v>63.2066666666667</c:v>
                </c:pt>
                <c:pt idx="10">
                  <c:v>75.7072072072072</c:v>
                </c:pt>
                <c:pt idx="11">
                  <c:v>72.6584415584415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2953262"/>
        <c:axId val="174000063"/>
      </c:barChart>
      <c:catAx>
        <c:axId val="2529532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000063"/>
        <c:crosses val="autoZero"/>
        <c:auto val="1"/>
        <c:lblAlgn val="ctr"/>
        <c:lblOffset val="100"/>
        <c:noMultiLvlLbl val="0"/>
      </c:catAx>
      <c:valAx>
        <c:axId val="17400006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9532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小类!$B$44</c:f>
              <c:strCache>
                <c:ptCount val="1"/>
                <c:pt idx="0">
                  <c:v>乌镇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小类!$A$45:$A$48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小类!$B$45:$B$48</c:f>
              <c:numCache>
                <c:formatCode>General</c:formatCode>
                <c:ptCount val="4"/>
                <c:pt idx="0">
                  <c:v>70.4108217296883</c:v>
                </c:pt>
                <c:pt idx="1">
                  <c:v>78.1144490529918</c:v>
                </c:pt>
                <c:pt idx="2">
                  <c:v>75.681220657277</c:v>
                </c:pt>
                <c:pt idx="3">
                  <c:v>72.3481120080194</c:v>
                </c:pt>
              </c:numCache>
            </c:numRef>
          </c:val>
        </c:ser>
        <c:ser>
          <c:idx val="1"/>
          <c:order val="1"/>
          <c:tx>
            <c:strRef>
              <c:f>小类!$C$44</c:f>
              <c:strCache>
                <c:ptCount val="1"/>
                <c:pt idx="0">
                  <c:v>蟠龙天地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小类!$A$45:$A$48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小类!$C$45:$C$48</c:f>
              <c:numCache>
                <c:formatCode>General</c:formatCode>
                <c:ptCount val="4"/>
                <c:pt idx="0">
                  <c:v>68.7062691960253</c:v>
                </c:pt>
                <c:pt idx="1">
                  <c:v>77.1332204553793</c:v>
                </c:pt>
                <c:pt idx="2">
                  <c:v>74.4190476190476</c:v>
                </c:pt>
                <c:pt idx="3">
                  <c:v>72.4453935499766</c:v>
                </c:pt>
              </c:numCache>
            </c:numRef>
          </c:val>
        </c:ser>
        <c:ser>
          <c:idx val="2"/>
          <c:order val="2"/>
          <c:tx>
            <c:strRef>
              <c:f>小类!$D$44</c:f>
              <c:strCache>
                <c:ptCount val="1"/>
                <c:pt idx="0">
                  <c:v>吉祥里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小类!$A$45:$A$48</c:f>
              <c:strCache>
                <c:ptCount val="4"/>
                <c:pt idx="0">
                  <c:v>公共设施</c:v>
                </c:pt>
                <c:pt idx="1">
                  <c:v>文化风貌</c:v>
                </c:pt>
                <c:pt idx="2">
                  <c:v>行为活动</c:v>
                </c:pt>
                <c:pt idx="3">
                  <c:v>评价感受</c:v>
                </c:pt>
              </c:strCache>
            </c:strRef>
          </c:cat>
          <c:val>
            <c:numRef>
              <c:f>小类!$D$45:$D$48</c:f>
              <c:numCache>
                <c:formatCode>General</c:formatCode>
                <c:ptCount val="4"/>
                <c:pt idx="0">
                  <c:v>66.5372299699207</c:v>
                </c:pt>
                <c:pt idx="1">
                  <c:v>75.5379226004366</c:v>
                </c:pt>
                <c:pt idx="2">
                  <c:v>70.9284482758621</c:v>
                </c:pt>
                <c:pt idx="3">
                  <c:v>70.5241051441051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68405"/>
        <c:axId val="981458816"/>
      </c:radarChart>
      <c:catAx>
        <c:axId val="4095684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58816"/>
        <c:crosses val="autoZero"/>
        <c:auto val="1"/>
        <c:lblAlgn val="ctr"/>
        <c:lblOffset val="100"/>
        <c:noMultiLvlLbl val="0"/>
      </c:catAx>
      <c:valAx>
        <c:axId val="98145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568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114300</xdr:colOff>
      <xdr:row>19</xdr:row>
      <xdr:rowOff>22225</xdr:rowOff>
    </xdr:from>
    <xdr:to>
      <xdr:col>5</xdr:col>
      <xdr:colOff>568325</xdr:colOff>
      <xdr:row>35</xdr:row>
      <xdr:rowOff>22225</xdr:rowOff>
    </xdr:to>
    <xdr:graphicFrame>
      <xdr:nvGraphicFramePr>
        <xdr:cNvPr id="2" name="图表 1"/>
        <xdr:cNvGraphicFramePr/>
      </xdr:nvGraphicFramePr>
      <xdr:xfrm>
        <a:off x="114300" y="3279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44</xdr:row>
      <xdr:rowOff>136525</xdr:rowOff>
    </xdr:from>
    <xdr:to>
      <xdr:col>5</xdr:col>
      <xdr:colOff>501650</xdr:colOff>
      <xdr:row>60</xdr:row>
      <xdr:rowOff>136525</xdr:rowOff>
    </xdr:to>
    <xdr:graphicFrame>
      <xdr:nvGraphicFramePr>
        <xdr:cNvPr id="3" name="图表 2"/>
        <xdr:cNvGraphicFramePr/>
      </xdr:nvGraphicFramePr>
      <xdr:xfrm>
        <a:off x="47625" y="768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104775</xdr:colOff>
      <xdr:row>25</xdr:row>
      <xdr:rowOff>107950</xdr:rowOff>
    </xdr:from>
    <xdr:to>
      <xdr:col>11</xdr:col>
      <xdr:colOff>673100</xdr:colOff>
      <xdr:row>41</xdr:row>
      <xdr:rowOff>107950</xdr:rowOff>
    </xdr:to>
    <xdr:graphicFrame>
      <xdr:nvGraphicFramePr>
        <xdr:cNvPr id="4" name="图表 3"/>
        <xdr:cNvGraphicFramePr/>
      </xdr:nvGraphicFramePr>
      <xdr:xfrm>
        <a:off x="6029325" y="439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187325</xdr:colOff>
      <xdr:row>25</xdr:row>
      <xdr:rowOff>139700</xdr:rowOff>
    </xdr:from>
    <xdr:to>
      <xdr:col>19</xdr:col>
      <xdr:colOff>212725</xdr:colOff>
      <xdr:row>41</xdr:row>
      <xdr:rowOff>139700</xdr:rowOff>
    </xdr:to>
    <xdr:graphicFrame>
      <xdr:nvGraphicFramePr>
        <xdr:cNvPr id="6" name="图表 5"/>
        <xdr:cNvGraphicFramePr/>
      </xdr:nvGraphicFramePr>
      <xdr:xfrm>
        <a:off x="11055350" y="4425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43</xdr:row>
      <xdr:rowOff>82550</xdr:rowOff>
    </xdr:from>
    <xdr:to>
      <xdr:col>12</xdr:col>
      <xdr:colOff>6350</xdr:colOff>
      <xdr:row>59</xdr:row>
      <xdr:rowOff>82550</xdr:rowOff>
    </xdr:to>
    <xdr:graphicFrame>
      <xdr:nvGraphicFramePr>
        <xdr:cNvPr id="7" name="图表 6"/>
        <xdr:cNvGraphicFramePr/>
      </xdr:nvGraphicFramePr>
      <xdr:xfrm>
        <a:off x="6048375" y="7454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8"/>
  <sheetViews>
    <sheetView workbookViewId="0">
      <selection activeCell="A1" sqref="A1:D6"/>
    </sheetView>
  </sheetViews>
  <sheetFormatPr defaultColWidth="9" defaultRowHeight="13.5"/>
  <cols>
    <col min="2" max="2" width="12.625"/>
    <col min="3" max="3" width="14.125" customWidth="1"/>
    <col min="4" max="4" width="12.625"/>
    <col min="8" max="10" width="12.625"/>
    <col min="13" max="13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G1" s="2"/>
      <c r="H1" s="2"/>
      <c r="I1" s="2"/>
    </row>
    <row r="2" spans="1:9">
      <c r="A2" t="s">
        <v>4</v>
      </c>
      <c r="B2">
        <v>0.784881502890173</v>
      </c>
      <c r="C2">
        <v>0.750633952254641</v>
      </c>
      <c r="D2">
        <v>0.745128318584071</v>
      </c>
      <c r="G2" s="2"/>
      <c r="H2" s="2"/>
      <c r="I2" s="2"/>
    </row>
    <row r="3" spans="1:12">
      <c r="A3" t="s">
        <v>5</v>
      </c>
      <c r="B3">
        <v>0.87024174528302</v>
      </c>
      <c r="C3">
        <v>0.846832786885246</v>
      </c>
      <c r="D3">
        <v>0.832866197183098</v>
      </c>
      <c r="G3" s="2"/>
      <c r="H3" s="2"/>
      <c r="I3" s="2"/>
      <c r="L3" s="2"/>
    </row>
    <row r="4" spans="1:12">
      <c r="A4" t="s">
        <v>6</v>
      </c>
      <c r="B4">
        <v>0.75681220657277</v>
      </c>
      <c r="C4">
        <v>0.744190476190476</v>
      </c>
      <c r="D4">
        <v>0.709284482758621</v>
      </c>
      <c r="G4" s="2"/>
      <c r="H4" s="2"/>
      <c r="I4" s="2"/>
      <c r="L4" s="2"/>
    </row>
    <row r="5" spans="1:12">
      <c r="A5" t="s">
        <v>7</v>
      </c>
      <c r="B5">
        <v>0.813497663551403</v>
      </c>
      <c r="C5">
        <v>0.813161592505855</v>
      </c>
      <c r="D5">
        <v>0.770068807339449</v>
      </c>
      <c r="G5" s="2"/>
      <c r="H5" s="2"/>
      <c r="I5" s="2"/>
      <c r="L5" s="2"/>
    </row>
    <row r="6" spans="1:12">
      <c r="A6" t="s">
        <v>8</v>
      </c>
      <c r="B6">
        <f>AVERAGE(B2:B5)</f>
        <v>0.806358279574341</v>
      </c>
      <c r="C6">
        <f>AVERAGE(C2:C5)</f>
        <v>0.788704701959055</v>
      </c>
      <c r="D6">
        <f>AVERAGE(D2:D5)</f>
        <v>0.76433695146631</v>
      </c>
      <c r="G6" s="2"/>
      <c r="H6" s="2"/>
      <c r="I6" s="2"/>
      <c r="L6" s="2"/>
    </row>
    <row r="7" spans="7:12">
      <c r="G7" s="2"/>
      <c r="H7" s="2"/>
      <c r="I7" s="2"/>
      <c r="L7" s="2"/>
    </row>
    <row r="8" spans="7:12">
      <c r="G8" s="2"/>
      <c r="H8" s="2"/>
      <c r="I8" s="2"/>
      <c r="L8" s="2"/>
    </row>
    <row r="9" spans="7:12">
      <c r="G9" s="2"/>
      <c r="H9" s="2"/>
      <c r="I9" s="2"/>
      <c r="L9" s="2"/>
    </row>
    <row r="10" spans="7:12">
      <c r="G10" s="2"/>
      <c r="H10" s="2"/>
      <c r="I10" s="2"/>
      <c r="L10" s="2"/>
    </row>
    <row r="11" spans="7:12">
      <c r="G11" s="2"/>
      <c r="H11" s="2"/>
      <c r="I11" s="2"/>
      <c r="L11" s="2"/>
    </row>
    <row r="12" spans="1:12">
      <c r="A12" t="s">
        <v>0</v>
      </c>
      <c r="B12" t="s">
        <v>1</v>
      </c>
      <c r="C12" t="s">
        <v>2</v>
      </c>
      <c r="D12" t="s">
        <v>3</v>
      </c>
      <c r="G12" s="2"/>
      <c r="H12" s="2"/>
      <c r="I12" s="2"/>
      <c r="L12" s="2"/>
    </row>
    <row r="13" spans="1:12">
      <c r="A13" t="s">
        <v>4</v>
      </c>
      <c r="B13">
        <f>B2*100</f>
        <v>78.4881502890173</v>
      </c>
      <c r="C13">
        <f>C2*100</f>
        <v>75.0633952254641</v>
      </c>
      <c r="D13">
        <f>D2*100</f>
        <v>74.5128318584071</v>
      </c>
      <c r="G13" s="2"/>
      <c r="H13" s="2"/>
      <c r="I13" s="2"/>
      <c r="L13" s="2"/>
    </row>
    <row r="14" spans="1:12">
      <c r="A14" t="s">
        <v>5</v>
      </c>
      <c r="B14">
        <f>B3*100</f>
        <v>87.024174528302</v>
      </c>
      <c r="C14">
        <f>C3*100</f>
        <v>84.6832786885246</v>
      </c>
      <c r="D14">
        <f>D3*100</f>
        <v>83.2866197183098</v>
      </c>
      <c r="G14" s="2"/>
      <c r="H14" s="2"/>
      <c r="I14" s="2"/>
      <c r="L14" s="2"/>
    </row>
    <row r="15" spans="1:12">
      <c r="A15" t="s">
        <v>6</v>
      </c>
      <c r="B15">
        <f>B4*100</f>
        <v>75.681220657277</v>
      </c>
      <c r="C15">
        <f>C4*100</f>
        <v>74.4190476190476</v>
      </c>
      <c r="D15">
        <f>D4*100</f>
        <v>70.9284482758621</v>
      </c>
      <c r="G15" s="2"/>
      <c r="H15" s="2"/>
      <c r="I15" s="2"/>
      <c r="L15" s="2"/>
    </row>
    <row r="16" spans="1:12">
      <c r="A16" t="s">
        <v>7</v>
      </c>
      <c r="B16">
        <f>B5*100</f>
        <v>81.3497663551403</v>
      </c>
      <c r="C16">
        <f>C5*100</f>
        <v>81.3161592505855</v>
      </c>
      <c r="D16">
        <f>D5*100</f>
        <v>77.0068807339449</v>
      </c>
      <c r="G16" s="2"/>
      <c r="H16" s="2"/>
      <c r="I16" s="2"/>
      <c r="L16" s="2"/>
    </row>
    <row r="17" spans="1:12">
      <c r="A17" t="s">
        <v>8</v>
      </c>
      <c r="B17">
        <f>AVERAGE(B13:B16)</f>
        <v>80.6358279574341</v>
      </c>
      <c r="C17">
        <f>AVERAGE(C13:C16)</f>
        <v>78.8704701959054</v>
      </c>
      <c r="D17">
        <f>AVERAGE(D13:D16)</f>
        <v>76.433695146631</v>
      </c>
      <c r="G17" s="2"/>
      <c r="H17" s="2"/>
      <c r="I17" s="2"/>
      <c r="L17" s="2"/>
    </row>
    <row r="18" spans="7:12">
      <c r="G18" s="2"/>
      <c r="H18" s="2"/>
      <c r="I18" s="2"/>
      <c r="L18" s="2"/>
    </row>
    <row r="19" spans="7:12">
      <c r="G19" s="2"/>
      <c r="H19" s="2"/>
      <c r="I19" s="2"/>
      <c r="L19" s="2"/>
    </row>
    <row r="20" spans="7:12">
      <c r="G20" s="2"/>
      <c r="H20" s="2"/>
      <c r="I20" s="2"/>
      <c r="L20" s="2"/>
    </row>
    <row r="21" spans="7:12">
      <c r="G21" s="2"/>
      <c r="H21" s="2"/>
      <c r="I21" s="2"/>
      <c r="L21" s="2"/>
    </row>
    <row r="22" spans="7:12">
      <c r="G22" s="2"/>
      <c r="H22" s="2"/>
      <c r="I22" s="2"/>
      <c r="L22" s="2"/>
    </row>
    <row r="23" spans="7:12">
      <c r="G23" s="2"/>
      <c r="H23" s="2"/>
      <c r="I23" s="2"/>
      <c r="L23" s="2"/>
    </row>
    <row r="24" spans="7:12">
      <c r="G24" s="2"/>
      <c r="H24" s="2"/>
      <c r="I24" s="2"/>
      <c r="L24" s="2"/>
    </row>
    <row r="25" spans="7:12">
      <c r="G25" s="2"/>
      <c r="H25" s="2"/>
      <c r="I25" s="2"/>
      <c r="L25" s="2"/>
    </row>
    <row r="26" spans="7:12">
      <c r="G26" s="2"/>
      <c r="H26" s="2"/>
      <c r="I26" s="2"/>
      <c r="L26" s="2"/>
    </row>
    <row r="27" spans="7:12">
      <c r="G27" s="2"/>
      <c r="H27" s="2"/>
      <c r="I27" s="2"/>
      <c r="L27" s="2"/>
    </row>
    <row r="28" spans="7:12">
      <c r="G28" s="2"/>
      <c r="H28" s="2"/>
      <c r="I28" s="2"/>
      <c r="L28" s="2"/>
    </row>
    <row r="29" spans="7:12">
      <c r="G29" s="2"/>
      <c r="H29" s="2"/>
      <c r="I29" s="2"/>
      <c r="L29" s="2"/>
    </row>
    <row r="30" spans="7:12">
      <c r="G30" s="2"/>
      <c r="H30" s="2"/>
      <c r="I30" s="2"/>
      <c r="L30" s="2"/>
    </row>
    <row r="31" spans="7:12">
      <c r="G31" s="2"/>
      <c r="H31" s="2"/>
      <c r="I31" s="2"/>
      <c r="L31" s="2"/>
    </row>
    <row r="32" spans="7:12">
      <c r="G32" s="2"/>
      <c r="H32" s="2"/>
      <c r="I32" s="2"/>
      <c r="L32" s="2"/>
    </row>
    <row r="33" spans="7:12">
      <c r="G33" s="2"/>
      <c r="H33" s="2"/>
      <c r="I33" s="2"/>
      <c r="L33" s="2"/>
    </row>
    <row r="34" spans="7:12">
      <c r="G34" s="2"/>
      <c r="H34" s="2"/>
      <c r="I34" s="2"/>
      <c r="L34" s="2"/>
    </row>
    <row r="35" spans="7:12">
      <c r="G35" s="2"/>
      <c r="H35" s="2"/>
      <c r="I35" s="2"/>
      <c r="L35" s="2"/>
    </row>
    <row r="36" spans="7:12">
      <c r="G36" s="2"/>
      <c r="H36" s="2"/>
      <c r="I36" s="2"/>
      <c r="L36" s="2"/>
    </row>
    <row r="37" spans="1:12">
      <c r="A37" s="7" t="s">
        <v>9</v>
      </c>
      <c r="G37" s="2"/>
      <c r="H37" s="2"/>
      <c r="I37" s="2"/>
      <c r="L37" s="2"/>
    </row>
    <row r="38" spans="1:12">
      <c r="A38" t="s">
        <v>0</v>
      </c>
      <c r="B38" t="s">
        <v>1</v>
      </c>
      <c r="C38" t="s">
        <v>2</v>
      </c>
      <c r="D38" t="s">
        <v>3</v>
      </c>
      <c r="G38" s="2"/>
      <c r="H38" s="2"/>
      <c r="I38" s="2"/>
      <c r="L38" s="2"/>
    </row>
    <row r="39" spans="1:12">
      <c r="A39" t="s">
        <v>4</v>
      </c>
      <c r="B39">
        <f>(B2-MIN($B2:$D2))/(MAX($B2:$D2)-MIN($B2:$D2))</f>
        <v>1</v>
      </c>
      <c r="C39">
        <f>(C2-MIN($B2:$D2))/(MAX($B2:$D2)-MIN($B2:$D2))</f>
        <v>0.138495412799549</v>
      </c>
      <c r="D39">
        <f>(D2-MIN($B2:$D2))/(MAX($B2:$D2)-MIN($B2:$D2))</f>
        <v>0</v>
      </c>
      <c r="G39" s="2"/>
      <c r="H39" s="2"/>
      <c r="I39" s="2"/>
      <c r="L39" s="2"/>
    </row>
    <row r="40" spans="1:12">
      <c r="A40" t="s">
        <v>5</v>
      </c>
      <c r="B40">
        <f>(B3-MIN($B3:$D3))/(MAX($B3:$D3)-MIN($B3:$D3))</f>
        <v>1</v>
      </c>
      <c r="C40">
        <f>(C3-MIN($B3:$D3))/(MAX($B3:$D3)-MIN($B3:$D3))</f>
        <v>0.373682538776642</v>
      </c>
      <c r="D40">
        <f>(D3-MIN($B3:$D3))/(MAX($B3:$D3)-MIN($B3:$D3))</f>
        <v>0</v>
      </c>
      <c r="G40" s="2"/>
      <c r="H40" s="2"/>
      <c r="I40" s="2"/>
      <c r="L40" s="2"/>
    </row>
    <row r="41" spans="1:12">
      <c r="A41" t="s">
        <v>6</v>
      </c>
      <c r="B41">
        <f>(B4-MIN($B4:$D4))/(MAX($B4:$D4)-MIN($B4:$D4))</f>
        <v>1</v>
      </c>
      <c r="C41">
        <f>(C4-MIN($B4:$D4))/(MAX($B4:$D4)-MIN($B4:$D4))</f>
        <v>0.734434360213645</v>
      </c>
      <c r="D41">
        <f>(D4-MIN($B4:$D4))/(MAX($B4:$D4)-MIN($B4:$D4))</f>
        <v>0</v>
      </c>
      <c r="G41" s="2"/>
      <c r="H41" s="2"/>
      <c r="I41" s="2"/>
      <c r="L41" s="2"/>
    </row>
    <row r="42" spans="1:12">
      <c r="A42" t="s">
        <v>7</v>
      </c>
      <c r="B42">
        <f>(B5-MIN($B5:$D5))/(MAX($B5:$D5)-MIN($B5:$D5))</f>
        <v>1</v>
      </c>
      <c r="C42">
        <f>(C5-MIN($B5:$D5))/(MAX($B5:$D5)-MIN($B5:$D5))</f>
        <v>0.992261572722346</v>
      </c>
      <c r="D42">
        <f>(D5-MIN($B5:$D5))/(MAX($B5:$D5)-MIN($B5:$D5))</f>
        <v>0</v>
      </c>
      <c r="G42" s="2"/>
      <c r="H42" s="2"/>
      <c r="I42" s="2"/>
      <c r="L42" s="2"/>
    </row>
    <row r="43" spans="1:12">
      <c r="A43" t="s">
        <v>8</v>
      </c>
      <c r="B43">
        <f>(B6-MIN($B6:$D6))/(MAX($B6:$D6)-MIN($B6:$D6))</f>
        <v>1</v>
      </c>
      <c r="C43">
        <f>(C6-MIN($B6:$D6))/(MAX($B6:$D6)-MIN($B6:$D6))</f>
        <v>0.579890060354547</v>
      </c>
      <c r="D43">
        <f>(D6-MIN($B6:$D6))/(MAX($B6:$D6)-MIN($B6:$D6))</f>
        <v>0</v>
      </c>
      <c r="G43" s="2"/>
      <c r="H43" s="2"/>
      <c r="I43" s="2"/>
      <c r="L43" s="2"/>
    </row>
    <row r="44" spans="7:12">
      <c r="G44" s="2"/>
      <c r="H44" s="2"/>
      <c r="I44" s="2"/>
      <c r="L44" s="2"/>
    </row>
    <row r="45" spans="7:12">
      <c r="G45" s="2"/>
      <c r="H45" s="2"/>
      <c r="I45" s="2"/>
      <c r="L45" s="2"/>
    </row>
    <row r="46" spans="7:12">
      <c r="G46" s="2"/>
      <c r="H46" s="2"/>
      <c r="I46" s="2"/>
      <c r="L46" s="2"/>
    </row>
    <row r="47" spans="7:12">
      <c r="G47" s="2"/>
      <c r="H47" s="2"/>
      <c r="I47" s="2"/>
      <c r="L47" s="2"/>
    </row>
    <row r="48" spans="7:12">
      <c r="G48" s="2"/>
      <c r="H48" s="2"/>
      <c r="I48" s="2"/>
      <c r="L48" s="2"/>
    </row>
    <row r="49" spans="7:12">
      <c r="G49" s="2"/>
      <c r="H49" s="2"/>
      <c r="I49" s="2"/>
      <c r="L49" s="2"/>
    </row>
    <row r="50" spans="7:12">
      <c r="G50" s="2"/>
      <c r="H50" s="2"/>
      <c r="I50" s="2"/>
      <c r="L50" s="2"/>
    </row>
    <row r="51" spans="7:12">
      <c r="G51" s="2"/>
      <c r="H51" s="2"/>
      <c r="I51" s="2"/>
      <c r="L51" s="2"/>
    </row>
    <row r="52" spans="7:12">
      <c r="G52" s="2"/>
      <c r="H52" s="2"/>
      <c r="I52" s="2"/>
      <c r="L52" s="2"/>
    </row>
    <row r="53" spans="7:12">
      <c r="G53" s="2"/>
      <c r="H53" s="2"/>
      <c r="I53" s="2"/>
      <c r="L53" s="2"/>
    </row>
    <row r="54" spans="7:12">
      <c r="G54" s="2"/>
      <c r="H54" s="2"/>
      <c r="I54" s="2"/>
      <c r="L54" s="2"/>
    </row>
    <row r="55" spans="7:12">
      <c r="G55" s="2"/>
      <c r="H55" s="2"/>
      <c r="I55" s="2"/>
      <c r="L55" s="2"/>
    </row>
    <row r="56" spans="7:12">
      <c r="G56" s="2"/>
      <c r="H56" s="2"/>
      <c r="I56" s="2"/>
      <c r="L56" s="2"/>
    </row>
    <row r="57" spans="7:12">
      <c r="G57" s="2"/>
      <c r="H57" s="2"/>
      <c r="I57" s="2"/>
      <c r="L57" s="2"/>
    </row>
    <row r="58" spans="7:12">
      <c r="G58" s="2"/>
      <c r="H58" s="2"/>
      <c r="I58" s="2"/>
      <c r="L58" s="2"/>
    </row>
    <row r="59" spans="7:12">
      <c r="G59" s="2"/>
      <c r="H59" s="2"/>
      <c r="I59" s="2"/>
      <c r="L59" s="2"/>
    </row>
    <row r="60" spans="7:12">
      <c r="G60" s="2"/>
      <c r="H60" s="2"/>
      <c r="I60" s="2"/>
      <c r="L60" s="2"/>
    </row>
    <row r="61" spans="7:12">
      <c r="G61" s="2"/>
      <c r="H61" s="2"/>
      <c r="I61" s="2"/>
      <c r="L61" s="2"/>
    </row>
    <row r="62" spans="7:12">
      <c r="G62" s="2"/>
      <c r="H62" s="2"/>
      <c r="I62" s="2"/>
      <c r="L62" s="2"/>
    </row>
    <row r="63" spans="7:12">
      <c r="G63" s="2"/>
      <c r="H63" s="2"/>
      <c r="I63" s="2"/>
      <c r="L63" s="2"/>
    </row>
    <row r="64" spans="7:12">
      <c r="G64" s="2"/>
      <c r="H64" s="2"/>
      <c r="I64" s="2"/>
      <c r="L64" s="2"/>
    </row>
    <row r="65" spans="7:12">
      <c r="G65" s="2"/>
      <c r="H65" s="2"/>
      <c r="I65" s="2"/>
      <c r="L65" s="2"/>
    </row>
    <row r="66" spans="7:12">
      <c r="G66" s="2"/>
      <c r="H66" s="2"/>
      <c r="I66" s="2"/>
      <c r="L66" s="2"/>
    </row>
    <row r="67" spans="7:12">
      <c r="G67" s="2"/>
      <c r="H67" s="2"/>
      <c r="I67" s="2"/>
      <c r="L67" s="2"/>
    </row>
    <row r="68" spans="7:12">
      <c r="G68" s="2"/>
      <c r="H68" s="2"/>
      <c r="I68" s="2"/>
      <c r="L68" s="2"/>
    </row>
    <row r="69" spans="7:12">
      <c r="G69" s="2"/>
      <c r="H69" s="2"/>
      <c r="I69" s="2"/>
      <c r="L69" s="2"/>
    </row>
    <row r="70" spans="7:12">
      <c r="G70" s="2"/>
      <c r="H70" s="2"/>
      <c r="I70" s="2"/>
      <c r="L70" s="2"/>
    </row>
    <row r="71" spans="7:12">
      <c r="G71" s="2"/>
      <c r="H71" s="2"/>
      <c r="I71" s="2"/>
      <c r="L71" s="2"/>
    </row>
    <row r="72" spans="7:12">
      <c r="G72" s="2"/>
      <c r="H72" s="2"/>
      <c r="I72" s="2"/>
      <c r="L72" s="2"/>
    </row>
    <row r="73" spans="7:12">
      <c r="G73" s="2"/>
      <c r="H73" s="2"/>
      <c r="I73" s="2"/>
      <c r="L73" s="2"/>
    </row>
    <row r="74" spans="7:12">
      <c r="G74" s="2"/>
      <c r="H74" s="2"/>
      <c r="I74" s="2"/>
      <c r="L74" s="2"/>
    </row>
    <row r="75" spans="7:12">
      <c r="G75" s="2"/>
      <c r="H75" s="2"/>
      <c r="I75" s="2"/>
      <c r="L75" s="2"/>
    </row>
    <row r="76" spans="7:12">
      <c r="G76" s="2"/>
      <c r="H76" s="2"/>
      <c r="I76" s="2"/>
      <c r="L76" s="2"/>
    </row>
    <row r="77" spans="7:12">
      <c r="G77" s="2"/>
      <c r="H77" s="2"/>
      <c r="I77" s="2"/>
      <c r="L77" s="2"/>
    </row>
    <row r="78" spans="7:12">
      <c r="G78" s="2"/>
      <c r="H78" s="2"/>
      <c r="I78" s="2"/>
      <c r="L78" s="2"/>
    </row>
    <row r="79" spans="7:12">
      <c r="G79" s="2"/>
      <c r="H79" s="2"/>
      <c r="I79" s="2"/>
      <c r="L79" s="2"/>
    </row>
    <row r="80" spans="7:12">
      <c r="G80" s="2"/>
      <c r="H80" s="2"/>
      <c r="I80" s="2"/>
      <c r="L80" s="2"/>
    </row>
    <row r="81" spans="7:12">
      <c r="G81" s="2"/>
      <c r="H81" s="2"/>
      <c r="I81" s="2"/>
      <c r="L81" s="2"/>
    </row>
    <row r="82" spans="7:12">
      <c r="G82" s="2"/>
      <c r="H82" s="2"/>
      <c r="I82" s="2"/>
      <c r="L82" s="2"/>
    </row>
    <row r="83" spans="7:12">
      <c r="G83" s="2"/>
      <c r="H83" s="2"/>
      <c r="I83" s="2"/>
      <c r="L83" s="2"/>
    </row>
    <row r="84" spans="7:12">
      <c r="G84" s="2"/>
      <c r="H84" s="2"/>
      <c r="I84" s="2"/>
      <c r="L84" s="2"/>
    </row>
    <row r="85" spans="7:12">
      <c r="G85" s="2"/>
      <c r="H85" s="2"/>
      <c r="I85" s="2"/>
      <c r="L85" s="2"/>
    </row>
    <row r="86" spans="7:12">
      <c r="G86" s="2"/>
      <c r="H86" s="2"/>
      <c r="I86" s="2"/>
      <c r="L86" s="2"/>
    </row>
    <row r="87" spans="7:12">
      <c r="G87" s="2"/>
      <c r="H87" s="2"/>
      <c r="I87" s="2"/>
      <c r="L87" s="2"/>
    </row>
    <row r="88" spans="7:12">
      <c r="G88" s="2"/>
      <c r="H88" s="2"/>
      <c r="I88" s="2"/>
      <c r="L88" s="2"/>
    </row>
    <row r="89" spans="7:12">
      <c r="G89" s="2"/>
      <c r="H89" s="2"/>
      <c r="I89" s="2"/>
      <c r="L89" s="2"/>
    </row>
    <row r="90" spans="7:12">
      <c r="G90" s="2"/>
      <c r="H90" s="2"/>
      <c r="I90" s="2"/>
      <c r="L90" s="2"/>
    </row>
    <row r="91" spans="7:12">
      <c r="G91" s="2"/>
      <c r="H91" s="2"/>
      <c r="I91" s="2"/>
      <c r="L91" s="2"/>
    </row>
    <row r="92" spans="7:12">
      <c r="G92" s="2"/>
      <c r="H92" s="2"/>
      <c r="I92" s="2"/>
      <c r="L92" s="2"/>
    </row>
    <row r="93" spans="7:12">
      <c r="G93" s="2"/>
      <c r="H93" s="2"/>
      <c r="I93" s="2"/>
      <c r="L93" s="2"/>
    </row>
    <row r="94" spans="7:12">
      <c r="G94" s="2"/>
      <c r="H94" s="2"/>
      <c r="I94" s="2"/>
      <c r="L94" s="2"/>
    </row>
    <row r="95" spans="7:12">
      <c r="G95" s="2"/>
      <c r="H95" s="2"/>
      <c r="I95" s="2"/>
      <c r="L95" s="2"/>
    </row>
    <row r="96" spans="7:12">
      <c r="G96" s="2"/>
      <c r="H96" s="2"/>
      <c r="I96" s="2"/>
      <c r="L96" s="2"/>
    </row>
    <row r="97" spans="7:12">
      <c r="G97" s="2"/>
      <c r="H97" s="2"/>
      <c r="I97" s="2"/>
      <c r="L97" s="2"/>
    </row>
    <row r="98" spans="7:12">
      <c r="G98" s="2"/>
      <c r="H98" s="2"/>
      <c r="I98" s="2"/>
      <c r="L98" s="2"/>
    </row>
    <row r="99" spans="7:12">
      <c r="G99" s="2"/>
      <c r="H99" s="2"/>
      <c r="I99" s="2"/>
      <c r="L99" s="2"/>
    </row>
    <row r="100" spans="7:12">
      <c r="G100" s="2"/>
      <c r="H100" s="2"/>
      <c r="I100" s="2"/>
      <c r="L100" s="2"/>
    </row>
    <row r="101" spans="7:12">
      <c r="G101" s="2"/>
      <c r="H101" s="2"/>
      <c r="I101" s="2"/>
      <c r="L101" s="2"/>
    </row>
    <row r="102" spans="7:12">
      <c r="G102" s="2"/>
      <c r="H102" s="2"/>
      <c r="I102" s="2"/>
      <c r="L102" s="2"/>
    </row>
    <row r="103" spans="7:12">
      <c r="G103" s="2"/>
      <c r="H103" s="2"/>
      <c r="I103" s="2"/>
      <c r="L103" s="2"/>
    </row>
    <row r="104" spans="7:12">
      <c r="G104" s="2"/>
      <c r="H104" s="2"/>
      <c r="I104" s="2"/>
      <c r="L104" s="2"/>
    </row>
    <row r="105" spans="7:12">
      <c r="G105" s="2"/>
      <c r="H105" s="2"/>
      <c r="I105" s="2"/>
      <c r="L105" s="2"/>
    </row>
    <row r="106" spans="7:12">
      <c r="G106" s="2"/>
      <c r="H106" s="2"/>
      <c r="I106" s="2"/>
      <c r="L106" s="2"/>
    </row>
    <row r="107" spans="7:12">
      <c r="G107" s="2"/>
      <c r="H107" s="2"/>
      <c r="I107" s="2"/>
      <c r="L107" s="2"/>
    </row>
    <row r="108" spans="7:12">
      <c r="G108" s="2"/>
      <c r="H108" s="2"/>
      <c r="I108" s="2"/>
      <c r="L108" s="2"/>
    </row>
    <row r="109" spans="7:12">
      <c r="G109" s="2"/>
      <c r="H109" s="2"/>
      <c r="I109" s="2"/>
      <c r="L109" s="2"/>
    </row>
    <row r="110" spans="7:12">
      <c r="G110" s="2"/>
      <c r="H110" s="2"/>
      <c r="I110" s="2"/>
      <c r="L110" s="2"/>
    </row>
    <row r="111" spans="7:12">
      <c r="G111" s="2"/>
      <c r="H111" s="2"/>
      <c r="I111" s="2"/>
      <c r="L111" s="2"/>
    </row>
    <row r="112" spans="7:12">
      <c r="G112" s="2"/>
      <c r="H112" s="2"/>
      <c r="I112" s="2"/>
      <c r="L112" s="2"/>
    </row>
    <row r="113" spans="7:12">
      <c r="G113" s="2"/>
      <c r="H113" s="2"/>
      <c r="I113" s="2"/>
      <c r="L113" s="2"/>
    </row>
    <row r="114" spans="7:12">
      <c r="G114" s="2"/>
      <c r="H114" s="2"/>
      <c r="I114" s="2"/>
      <c r="L114" s="2"/>
    </row>
    <row r="115" spans="7:12">
      <c r="G115" s="2"/>
      <c r="H115" s="2"/>
      <c r="I115" s="2"/>
      <c r="L115" s="2"/>
    </row>
    <row r="116" spans="7:12">
      <c r="G116" s="2"/>
      <c r="H116" s="2"/>
      <c r="I116" s="2"/>
      <c r="L116" s="2"/>
    </row>
    <row r="117" spans="7:12">
      <c r="G117" s="2"/>
      <c r="H117" s="2"/>
      <c r="I117" s="2"/>
      <c r="L117" s="2"/>
    </row>
    <row r="118" spans="7:12">
      <c r="G118" s="2"/>
      <c r="H118" s="2"/>
      <c r="I118" s="2"/>
      <c r="L118" s="2"/>
    </row>
    <row r="119" spans="7:12">
      <c r="G119" s="2"/>
      <c r="H119" s="2"/>
      <c r="I119" s="2"/>
      <c r="L119" s="2"/>
    </row>
    <row r="120" spans="7:12">
      <c r="G120" s="2"/>
      <c r="H120" s="2"/>
      <c r="I120" s="2"/>
      <c r="L120" s="2"/>
    </row>
    <row r="121" spans="7:12">
      <c r="G121" s="2"/>
      <c r="H121" s="2"/>
      <c r="I121" s="2"/>
      <c r="L121" s="2"/>
    </row>
    <row r="122" spans="7:12">
      <c r="G122" s="2"/>
      <c r="H122" s="2"/>
      <c r="I122" s="2"/>
      <c r="L122" s="2"/>
    </row>
    <row r="123" spans="7:12">
      <c r="G123" s="2"/>
      <c r="H123" s="2"/>
      <c r="I123" s="2"/>
      <c r="L123" s="2"/>
    </row>
    <row r="124" spans="7:12">
      <c r="G124" s="2"/>
      <c r="H124" s="2"/>
      <c r="I124" s="2"/>
      <c r="L124" s="2"/>
    </row>
    <row r="125" spans="7:12">
      <c r="G125" s="2"/>
      <c r="H125" s="2"/>
      <c r="I125" s="2"/>
      <c r="L125" s="2"/>
    </row>
    <row r="126" spans="7:12">
      <c r="G126" s="2"/>
      <c r="H126" s="2"/>
      <c r="I126" s="2"/>
      <c r="L126" s="2"/>
    </row>
    <row r="127" spans="7:12">
      <c r="G127" s="2"/>
      <c r="H127" s="2"/>
      <c r="I127" s="2"/>
      <c r="L127" s="2"/>
    </row>
    <row r="128" spans="7:12">
      <c r="G128" s="2"/>
      <c r="H128" s="2"/>
      <c r="I128" s="2"/>
      <c r="L128" s="2"/>
    </row>
    <row r="129" spans="7:12">
      <c r="G129" s="2"/>
      <c r="H129" s="2"/>
      <c r="I129" s="2"/>
      <c r="L129" s="2"/>
    </row>
    <row r="130" spans="7:12">
      <c r="G130" s="2"/>
      <c r="H130" s="2"/>
      <c r="I130" s="2"/>
      <c r="L130" s="2"/>
    </row>
    <row r="131" spans="7:12">
      <c r="G131" s="2"/>
      <c r="H131" s="2"/>
      <c r="I131" s="2"/>
      <c r="L131" s="2"/>
    </row>
    <row r="132" spans="7:12">
      <c r="G132" s="2"/>
      <c r="H132" s="2"/>
      <c r="I132" s="2"/>
      <c r="L132" s="2"/>
    </row>
    <row r="133" spans="7:12">
      <c r="G133" s="2"/>
      <c r="H133" s="2"/>
      <c r="I133" s="2"/>
      <c r="L133" s="2"/>
    </row>
    <row r="134" spans="7:12">
      <c r="G134" s="2"/>
      <c r="H134" s="2"/>
      <c r="I134" s="2"/>
      <c r="L134" s="2"/>
    </row>
    <row r="135" spans="7:12">
      <c r="G135" s="2"/>
      <c r="H135" s="2"/>
      <c r="I135" s="2"/>
      <c r="L135" s="2"/>
    </row>
    <row r="136" spans="7:12">
      <c r="G136" s="2"/>
      <c r="H136" s="2"/>
      <c r="I136" s="2"/>
      <c r="L136" s="2"/>
    </row>
    <row r="137" spans="7:12">
      <c r="G137" s="2"/>
      <c r="H137" s="2"/>
      <c r="I137" s="2"/>
      <c r="L137" s="2"/>
    </row>
    <row r="138" spans="7:12">
      <c r="G138" s="2"/>
      <c r="H138" s="2"/>
      <c r="I138" s="2"/>
      <c r="L138" s="2"/>
    </row>
    <row r="139" spans="7:12">
      <c r="G139" s="2"/>
      <c r="H139" s="2"/>
      <c r="I139" s="2"/>
      <c r="L139" s="2"/>
    </row>
    <row r="140" spans="7:12">
      <c r="G140" s="2"/>
      <c r="H140" s="2"/>
      <c r="I140" s="2"/>
      <c r="L140" s="2"/>
    </row>
    <row r="141" spans="7:12">
      <c r="G141" s="2"/>
      <c r="H141" s="2"/>
      <c r="I141" s="2"/>
      <c r="L141" s="2"/>
    </row>
    <row r="142" spans="7:12">
      <c r="G142" s="2"/>
      <c r="H142" s="2"/>
      <c r="I142" s="2"/>
      <c r="L142" s="2"/>
    </row>
    <row r="143" spans="7:12">
      <c r="G143" s="2"/>
      <c r="H143" s="2"/>
      <c r="I143" s="2"/>
      <c r="L143" s="2"/>
    </row>
    <row r="144" spans="7:12">
      <c r="G144" s="2"/>
      <c r="H144" s="2"/>
      <c r="I144" s="2"/>
      <c r="L144" s="2"/>
    </row>
    <row r="145" spans="7:12">
      <c r="G145" s="2"/>
      <c r="H145" s="2"/>
      <c r="I145" s="2"/>
      <c r="L145" s="2"/>
    </row>
    <row r="146" spans="7:12">
      <c r="G146" s="2"/>
      <c r="H146" s="2"/>
      <c r="I146" s="2"/>
      <c r="L146" s="2"/>
    </row>
    <row r="147" spans="7:12">
      <c r="G147" s="2"/>
      <c r="H147" s="2"/>
      <c r="I147" s="2"/>
      <c r="L147" s="2"/>
    </row>
    <row r="148" spans="7:12">
      <c r="G148" s="2"/>
      <c r="H148" s="2"/>
      <c r="I148" s="2"/>
      <c r="L148" s="2"/>
    </row>
    <row r="149" spans="7:12">
      <c r="G149" s="2"/>
      <c r="H149" s="2"/>
      <c r="I149" s="2"/>
      <c r="L149" s="2"/>
    </row>
    <row r="150" spans="7:12">
      <c r="G150" s="2"/>
      <c r="H150" s="2"/>
      <c r="I150" s="2"/>
      <c r="L150" s="2"/>
    </row>
    <row r="151" spans="7:12">
      <c r="G151" s="2"/>
      <c r="H151" s="2"/>
      <c r="I151" s="2"/>
      <c r="L151" s="2"/>
    </row>
    <row r="152" spans="7:12">
      <c r="G152" s="2"/>
      <c r="H152" s="2"/>
      <c r="I152" s="2"/>
      <c r="L152" s="2"/>
    </row>
    <row r="153" spans="7:12">
      <c r="G153" s="2"/>
      <c r="H153" s="2"/>
      <c r="I153" s="2"/>
      <c r="L153" s="2"/>
    </row>
    <row r="154" spans="7:12">
      <c r="G154" s="2"/>
      <c r="H154" s="2"/>
      <c r="I154" s="2"/>
      <c r="L154" s="2"/>
    </row>
    <row r="155" spans="7:12">
      <c r="G155" s="2"/>
      <c r="H155" s="2"/>
      <c r="I155" s="2"/>
      <c r="L155" s="2"/>
    </row>
    <row r="156" spans="7:12">
      <c r="G156" s="2"/>
      <c r="H156" s="2"/>
      <c r="I156" s="2"/>
      <c r="L156" s="2"/>
    </row>
    <row r="157" spans="7:12">
      <c r="G157" s="2"/>
      <c r="H157" s="2"/>
      <c r="I157" s="2"/>
      <c r="L157" s="2"/>
    </row>
    <row r="158" spans="7:12">
      <c r="G158" s="2"/>
      <c r="H158" s="2"/>
      <c r="I158" s="2"/>
      <c r="L158" s="2"/>
    </row>
    <row r="159" spans="7:12">
      <c r="G159" s="2"/>
      <c r="H159" s="2"/>
      <c r="I159" s="2"/>
      <c r="L159" s="2"/>
    </row>
    <row r="160" spans="7:12">
      <c r="G160" s="2"/>
      <c r="H160" s="2"/>
      <c r="I160" s="2"/>
      <c r="L160" s="2"/>
    </row>
    <row r="161" spans="7:12">
      <c r="G161" s="2"/>
      <c r="H161" s="2"/>
      <c r="I161" s="2"/>
      <c r="L161" s="2"/>
    </row>
    <row r="162" spans="7:12">
      <c r="G162" s="2"/>
      <c r="H162" s="2"/>
      <c r="I162" s="2"/>
      <c r="L162" s="2"/>
    </row>
    <row r="163" spans="7:12">
      <c r="G163" s="2"/>
      <c r="H163" s="2"/>
      <c r="I163" s="2"/>
      <c r="L163" s="2"/>
    </row>
    <row r="164" spans="7:12">
      <c r="G164" s="2"/>
      <c r="H164" s="2"/>
      <c r="I164" s="2"/>
      <c r="L164" s="2"/>
    </row>
    <row r="165" spans="7:12">
      <c r="G165" s="2"/>
      <c r="H165" s="2"/>
      <c r="I165" s="2"/>
      <c r="L165" s="2"/>
    </row>
    <row r="166" spans="7:12">
      <c r="G166" s="2"/>
      <c r="H166" s="2"/>
      <c r="I166" s="2"/>
      <c r="L166" s="2"/>
    </row>
    <row r="167" spans="7:12">
      <c r="G167" s="2"/>
      <c r="H167" s="2"/>
      <c r="I167" s="2"/>
      <c r="L167" s="2"/>
    </row>
    <row r="168" spans="7:12">
      <c r="G168" s="2"/>
      <c r="H168" s="2"/>
      <c r="I168" s="2"/>
      <c r="L168" s="2"/>
    </row>
    <row r="169" spans="7:12">
      <c r="G169" s="2"/>
      <c r="H169" s="2"/>
      <c r="I169" s="2"/>
      <c r="L169" s="2"/>
    </row>
    <row r="170" spans="7:12">
      <c r="G170" s="2"/>
      <c r="H170" s="2"/>
      <c r="I170" s="2"/>
      <c r="L170" s="2"/>
    </row>
    <row r="171" spans="7:12">
      <c r="G171" s="2"/>
      <c r="H171" s="2"/>
      <c r="I171" s="2"/>
      <c r="L171" s="2"/>
    </row>
    <row r="172" spans="7:12">
      <c r="G172" s="2"/>
      <c r="H172" s="2"/>
      <c r="I172" s="2"/>
      <c r="L172" s="2"/>
    </row>
    <row r="173" spans="7:12">
      <c r="G173" s="2"/>
      <c r="H173" s="2"/>
      <c r="I173" s="2"/>
      <c r="L173" s="2"/>
    </row>
    <row r="174" spans="7:12">
      <c r="G174" s="2"/>
      <c r="H174" s="2"/>
      <c r="I174" s="2"/>
      <c r="L174" s="2"/>
    </row>
    <row r="175" spans="7:12">
      <c r="G175" s="2"/>
      <c r="H175" s="2"/>
      <c r="I175" s="2"/>
      <c r="L175" s="2"/>
    </row>
    <row r="176" spans="7:12">
      <c r="G176" s="2"/>
      <c r="H176" s="2"/>
      <c r="I176" s="2"/>
      <c r="L176" s="2"/>
    </row>
    <row r="177" spans="7:12">
      <c r="G177" s="2"/>
      <c r="H177" s="2"/>
      <c r="I177" s="2"/>
      <c r="L177" s="2"/>
    </row>
    <row r="178" spans="7:12">
      <c r="G178" s="2"/>
      <c r="H178" s="2"/>
      <c r="I178" s="2"/>
      <c r="L178" s="2"/>
    </row>
    <row r="179" spans="7:12">
      <c r="G179" s="2"/>
      <c r="H179" s="2"/>
      <c r="I179" s="2"/>
      <c r="L179" s="2"/>
    </row>
    <row r="180" spans="7:12">
      <c r="G180" s="2"/>
      <c r="H180" s="2"/>
      <c r="I180" s="2"/>
      <c r="L180" s="2"/>
    </row>
    <row r="181" spans="7:12">
      <c r="G181" s="2"/>
      <c r="H181" s="2"/>
      <c r="I181" s="2"/>
      <c r="L181" s="2"/>
    </row>
    <row r="182" spans="7:12">
      <c r="G182" s="2"/>
      <c r="H182" s="2"/>
      <c r="I182" s="2"/>
      <c r="L182" s="2"/>
    </row>
    <row r="183" spans="7:12">
      <c r="G183" s="2"/>
      <c r="H183" s="2"/>
      <c r="I183" s="2"/>
      <c r="L183" s="2"/>
    </row>
    <row r="184" spans="7:12">
      <c r="G184" s="2"/>
      <c r="H184" s="2"/>
      <c r="I184" s="2"/>
      <c r="L184" s="2"/>
    </row>
    <row r="185" spans="7:12">
      <c r="G185" s="2"/>
      <c r="H185" s="2"/>
      <c r="I185" s="2"/>
      <c r="L185" s="2"/>
    </row>
    <row r="186" spans="7:12">
      <c r="G186" s="2"/>
      <c r="H186" s="2"/>
      <c r="I186" s="2"/>
      <c r="L186" s="2"/>
    </row>
    <row r="187" spans="7:12">
      <c r="G187" s="2"/>
      <c r="H187" s="2"/>
      <c r="I187" s="2"/>
      <c r="L187" s="2"/>
    </row>
    <row r="188" spans="7:12">
      <c r="G188" s="2"/>
      <c r="H188" s="2"/>
      <c r="I188" s="2"/>
      <c r="L188" s="2"/>
    </row>
    <row r="189" spans="7:12">
      <c r="G189" s="2"/>
      <c r="H189" s="2"/>
      <c r="I189" s="2"/>
      <c r="L189" s="2"/>
    </row>
    <row r="190" spans="7:12">
      <c r="G190" s="2"/>
      <c r="H190" s="2"/>
      <c r="I190" s="2"/>
      <c r="L190" s="2"/>
    </row>
    <row r="191" spans="7:12">
      <c r="G191" s="2"/>
      <c r="H191" s="2"/>
      <c r="I191" s="2"/>
      <c r="L191" s="2"/>
    </row>
    <row r="192" spans="7:12">
      <c r="G192" s="2"/>
      <c r="H192" s="2"/>
      <c r="I192" s="2"/>
      <c r="L192" s="2"/>
    </row>
    <row r="193" spans="7:12">
      <c r="G193" s="2"/>
      <c r="H193" s="2"/>
      <c r="I193" s="2"/>
      <c r="L193" s="2"/>
    </row>
    <row r="194" spans="7:12">
      <c r="G194" s="2"/>
      <c r="H194" s="2"/>
      <c r="I194" s="2"/>
      <c r="L194" s="2"/>
    </row>
    <row r="195" spans="7:12">
      <c r="G195" s="2"/>
      <c r="H195" s="2"/>
      <c r="I195" s="2"/>
      <c r="L195" s="2"/>
    </row>
    <row r="196" spans="7:12">
      <c r="G196" s="2"/>
      <c r="H196" s="2"/>
      <c r="I196" s="2"/>
      <c r="L196" s="2"/>
    </row>
    <row r="197" spans="7:12">
      <c r="G197" s="2"/>
      <c r="H197" s="2"/>
      <c r="I197" s="2"/>
      <c r="L197" s="2"/>
    </row>
    <row r="198" spans="7:12">
      <c r="G198" s="2"/>
      <c r="H198" s="2"/>
      <c r="I198" s="2"/>
      <c r="L198" s="2"/>
    </row>
    <row r="199" spans="7:12">
      <c r="G199" s="2"/>
      <c r="H199" s="2"/>
      <c r="I199" s="2"/>
      <c r="L199" s="2"/>
    </row>
    <row r="200" spans="7:12">
      <c r="G200" s="2"/>
      <c r="H200" s="2"/>
      <c r="I200" s="2"/>
      <c r="L200" s="2"/>
    </row>
    <row r="201" spans="7:12">
      <c r="G201" s="2"/>
      <c r="H201" s="2"/>
      <c r="I201" s="2"/>
      <c r="L201" s="2"/>
    </row>
    <row r="202" spans="7:12">
      <c r="G202" s="2"/>
      <c r="H202" s="2"/>
      <c r="I202" s="2"/>
      <c r="L202" s="2"/>
    </row>
    <row r="203" spans="7:12">
      <c r="G203" s="2"/>
      <c r="H203" s="2"/>
      <c r="I203" s="2"/>
      <c r="L203" s="2"/>
    </row>
    <row r="204" spans="7:12">
      <c r="G204" s="2"/>
      <c r="H204" s="2"/>
      <c r="I204" s="2"/>
      <c r="L204" s="2"/>
    </row>
    <row r="205" spans="7:12">
      <c r="G205" s="2"/>
      <c r="H205" s="2"/>
      <c r="I205" s="2"/>
      <c r="L205" s="2"/>
    </row>
    <row r="206" spans="7:12">
      <c r="G206" s="2"/>
      <c r="H206" s="2"/>
      <c r="I206" s="2"/>
      <c r="L206" s="2"/>
    </row>
    <row r="207" spans="7:12">
      <c r="G207" s="2"/>
      <c r="H207" s="2"/>
      <c r="I207" s="2"/>
      <c r="L207" s="2"/>
    </row>
    <row r="208" spans="7:12">
      <c r="G208" s="2"/>
      <c r="H208" s="2"/>
      <c r="I208" s="2"/>
      <c r="L208" s="2"/>
    </row>
    <row r="209" spans="7:12">
      <c r="G209" s="2"/>
      <c r="H209" s="2"/>
      <c r="I209" s="2"/>
      <c r="L209" s="2"/>
    </row>
    <row r="210" spans="7:12">
      <c r="G210" s="2"/>
      <c r="H210" s="2"/>
      <c r="I210" s="2"/>
      <c r="L210" s="2"/>
    </row>
    <row r="211" spans="7:12">
      <c r="G211" s="2"/>
      <c r="H211" s="2"/>
      <c r="I211" s="2"/>
      <c r="L211" s="2"/>
    </row>
    <row r="212" spans="7:12">
      <c r="G212" s="2"/>
      <c r="H212" s="2"/>
      <c r="I212" s="2"/>
      <c r="L212" s="2"/>
    </row>
    <row r="213" spans="7:12">
      <c r="G213" s="2"/>
      <c r="H213" s="2"/>
      <c r="I213" s="2"/>
      <c r="L213" s="2"/>
    </row>
    <row r="214" spans="7:12">
      <c r="G214" s="2"/>
      <c r="H214" s="2"/>
      <c r="I214" s="2"/>
      <c r="L214" s="2"/>
    </row>
    <row r="215" spans="7:12">
      <c r="G215" s="2"/>
      <c r="H215" s="2"/>
      <c r="I215" s="2"/>
      <c r="L215" s="2"/>
    </row>
    <row r="216" spans="7:12">
      <c r="G216" s="2"/>
      <c r="H216" s="2"/>
      <c r="I216" s="2"/>
      <c r="L216" s="2"/>
    </row>
    <row r="217" spans="7:12">
      <c r="G217" s="2"/>
      <c r="H217" s="2"/>
      <c r="I217" s="2"/>
      <c r="L217" s="2"/>
    </row>
    <row r="218" spans="7:12">
      <c r="G218" s="2"/>
      <c r="H218" s="2"/>
      <c r="I218" s="2"/>
      <c r="L218" s="2"/>
    </row>
    <row r="219" spans="7:12">
      <c r="G219" s="2"/>
      <c r="H219" s="2"/>
      <c r="I219" s="2"/>
      <c r="L219" s="2"/>
    </row>
    <row r="220" spans="7:12">
      <c r="G220" s="2"/>
      <c r="H220" s="2"/>
      <c r="I220" s="2"/>
      <c r="L220" s="2"/>
    </row>
    <row r="221" spans="7:12">
      <c r="G221" s="2"/>
      <c r="H221" s="2"/>
      <c r="I221" s="2"/>
      <c r="L221" s="2"/>
    </row>
    <row r="222" spans="7:12">
      <c r="G222" s="2"/>
      <c r="H222" s="2"/>
      <c r="I222" s="2"/>
      <c r="L222" s="2"/>
    </row>
    <row r="223" spans="7:12">
      <c r="G223" s="2"/>
      <c r="H223" s="2"/>
      <c r="I223" s="2"/>
      <c r="L223" s="2"/>
    </row>
    <row r="224" spans="7:12">
      <c r="G224" s="2"/>
      <c r="H224" s="2"/>
      <c r="I224" s="2"/>
      <c r="L224" s="2"/>
    </row>
    <row r="225" spans="7:12">
      <c r="G225" s="2"/>
      <c r="H225" s="2"/>
      <c r="I225" s="2"/>
      <c r="L225" s="2"/>
    </row>
    <row r="226" spans="7:12">
      <c r="G226" s="2"/>
      <c r="H226" s="2"/>
      <c r="I226" s="2"/>
      <c r="L226" s="2"/>
    </row>
    <row r="227" spans="7:12">
      <c r="G227" s="2"/>
      <c r="H227" s="2"/>
      <c r="I227" s="2"/>
      <c r="L227" s="2"/>
    </row>
    <row r="228" spans="7:12">
      <c r="G228" s="2"/>
      <c r="H228" s="2"/>
      <c r="I228" s="2"/>
      <c r="L228" s="2"/>
    </row>
    <row r="229" spans="7:12">
      <c r="G229" s="2"/>
      <c r="H229" s="2"/>
      <c r="I229" s="2"/>
      <c r="L229" s="2"/>
    </row>
    <row r="230" spans="7:12">
      <c r="G230" s="2"/>
      <c r="H230" s="2"/>
      <c r="I230" s="2"/>
      <c r="L230" s="2"/>
    </row>
    <row r="231" spans="7:12">
      <c r="G231" s="2"/>
      <c r="H231" s="2"/>
      <c r="I231" s="2"/>
      <c r="L231" s="2"/>
    </row>
    <row r="232" spans="7:12">
      <c r="G232" s="2"/>
      <c r="H232" s="2"/>
      <c r="I232" s="2"/>
      <c r="L232" s="2"/>
    </row>
    <row r="233" spans="7:12">
      <c r="G233" s="2"/>
      <c r="H233" s="2"/>
      <c r="I233" s="2"/>
      <c r="L233" s="2"/>
    </row>
    <row r="234" spans="7:12">
      <c r="G234" s="2"/>
      <c r="H234" s="2"/>
      <c r="I234" s="2"/>
      <c r="L234" s="2"/>
    </row>
    <row r="235" spans="7:12">
      <c r="G235" s="2"/>
      <c r="H235" s="2"/>
      <c r="I235" s="2"/>
      <c r="L235" s="2"/>
    </row>
    <row r="236" spans="7:12">
      <c r="G236" s="2"/>
      <c r="H236" s="2"/>
      <c r="I236" s="2"/>
      <c r="L236" s="2"/>
    </row>
    <row r="237" spans="7:12">
      <c r="G237" s="2"/>
      <c r="H237" s="2"/>
      <c r="I237" s="2"/>
      <c r="L237" s="2"/>
    </row>
    <row r="238" spans="7:12">
      <c r="G238" s="2"/>
      <c r="H238" s="2"/>
      <c r="I238" s="2"/>
      <c r="L238" s="2"/>
    </row>
    <row r="239" spans="7:12">
      <c r="G239" s="2"/>
      <c r="H239" s="2"/>
      <c r="I239" s="2"/>
      <c r="L239" s="2"/>
    </row>
    <row r="240" spans="7:12">
      <c r="G240" s="2"/>
      <c r="H240" s="2"/>
      <c r="I240" s="2"/>
      <c r="L240" s="2"/>
    </row>
    <row r="241" spans="7:12">
      <c r="G241" s="2"/>
      <c r="H241" s="2"/>
      <c r="I241" s="2"/>
      <c r="L241" s="2"/>
    </row>
    <row r="242" spans="7:12">
      <c r="G242" s="2"/>
      <c r="H242" s="2"/>
      <c r="I242" s="2"/>
      <c r="L242" s="2"/>
    </row>
    <row r="243" spans="7:12">
      <c r="G243" s="2"/>
      <c r="H243" s="2"/>
      <c r="I243" s="2"/>
      <c r="L243" s="2"/>
    </row>
    <row r="244" spans="7:12">
      <c r="G244" s="2"/>
      <c r="H244" s="2"/>
      <c r="I244" s="2"/>
      <c r="L244" s="2"/>
    </row>
    <row r="245" spans="7:12">
      <c r="G245" s="2"/>
      <c r="H245" s="2"/>
      <c r="I245" s="2"/>
      <c r="L245" s="2"/>
    </row>
    <row r="246" spans="7:12">
      <c r="G246" s="2"/>
      <c r="H246" s="2"/>
      <c r="I246" s="2"/>
      <c r="L246" s="2"/>
    </row>
    <row r="247" spans="7:12">
      <c r="G247" s="2"/>
      <c r="H247" s="2"/>
      <c r="I247" s="2"/>
      <c r="L247" s="2"/>
    </row>
    <row r="248" spans="7:12">
      <c r="G248" s="2"/>
      <c r="H248" s="2"/>
      <c r="I248" s="2"/>
      <c r="L248" s="2"/>
    </row>
    <row r="249" spans="7:12">
      <c r="G249" s="2"/>
      <c r="H249" s="2"/>
      <c r="I249" s="2"/>
      <c r="L249" s="2"/>
    </row>
    <row r="250" spans="7:12">
      <c r="G250" s="2"/>
      <c r="H250" s="2"/>
      <c r="I250" s="2"/>
      <c r="L250" s="2"/>
    </row>
    <row r="251" spans="7:12">
      <c r="G251" s="2"/>
      <c r="H251" s="2"/>
      <c r="I251" s="2"/>
      <c r="L251" s="2"/>
    </row>
    <row r="252" spans="7:12">
      <c r="G252" s="2"/>
      <c r="H252" s="2"/>
      <c r="I252" s="2"/>
      <c r="L252" s="2"/>
    </row>
    <row r="253" spans="7:12">
      <c r="G253" s="2"/>
      <c r="H253" s="2"/>
      <c r="I253" s="2"/>
      <c r="L253" s="2"/>
    </row>
    <row r="254" spans="7:12">
      <c r="G254" s="2"/>
      <c r="H254" s="2"/>
      <c r="I254" s="2"/>
      <c r="L254" s="2"/>
    </row>
    <row r="255" spans="7:12">
      <c r="G255" s="2"/>
      <c r="H255" s="2"/>
      <c r="I255" s="2"/>
      <c r="L255" s="2"/>
    </row>
    <row r="256" spans="7:12">
      <c r="G256" s="2"/>
      <c r="H256" s="2"/>
      <c r="I256" s="2"/>
      <c r="L256" s="2"/>
    </row>
    <row r="257" spans="7:12">
      <c r="G257" s="2"/>
      <c r="H257" s="2"/>
      <c r="I257" s="2"/>
      <c r="L257" s="2"/>
    </row>
    <row r="258" spans="7:12">
      <c r="G258" s="2"/>
      <c r="H258" s="2"/>
      <c r="I258" s="2"/>
      <c r="L258" s="2"/>
    </row>
    <row r="259" spans="7:12">
      <c r="G259" s="2"/>
      <c r="H259" s="2"/>
      <c r="I259" s="2"/>
      <c r="L259" s="2"/>
    </row>
    <row r="260" spans="7:12">
      <c r="G260" s="2"/>
      <c r="H260" s="2"/>
      <c r="I260" s="2"/>
      <c r="L260" s="2"/>
    </row>
    <row r="261" spans="7:12">
      <c r="G261" s="2"/>
      <c r="H261" s="2"/>
      <c r="I261" s="2"/>
      <c r="L261" s="2"/>
    </row>
    <row r="262" spans="7:12">
      <c r="G262" s="2"/>
      <c r="H262" s="2"/>
      <c r="I262" s="2"/>
      <c r="L262" s="2"/>
    </row>
    <row r="263" spans="7:12">
      <c r="G263" s="2"/>
      <c r="H263" s="2"/>
      <c r="I263" s="2"/>
      <c r="L263" s="2"/>
    </row>
    <row r="264" spans="7:12">
      <c r="G264" s="2"/>
      <c r="H264" s="2"/>
      <c r="I264" s="2"/>
      <c r="L264" s="2"/>
    </row>
    <row r="265" spans="7:12">
      <c r="G265" s="2"/>
      <c r="H265" s="2"/>
      <c r="I265" s="2"/>
      <c r="L265" s="2"/>
    </row>
    <row r="266" spans="7:12">
      <c r="G266" s="2"/>
      <c r="H266" s="2"/>
      <c r="I266" s="2"/>
      <c r="L266" s="2"/>
    </row>
    <row r="267" spans="7:12">
      <c r="G267" s="2"/>
      <c r="H267" s="2"/>
      <c r="I267" s="2"/>
      <c r="L267" s="2"/>
    </row>
    <row r="268" spans="7:12">
      <c r="G268" s="2"/>
      <c r="H268" s="2"/>
      <c r="I268" s="2"/>
      <c r="L268" s="2"/>
    </row>
    <row r="269" spans="7:12">
      <c r="G269" s="2"/>
      <c r="H269" s="2"/>
      <c r="I269" s="2"/>
      <c r="L269" s="2"/>
    </row>
    <row r="270" spans="7:12">
      <c r="G270" s="2"/>
      <c r="H270" s="2"/>
      <c r="I270" s="2"/>
      <c r="L270" s="2"/>
    </row>
    <row r="271" spans="7:12">
      <c r="G271" s="2"/>
      <c r="H271" s="2"/>
      <c r="I271" s="2"/>
      <c r="L271" s="2"/>
    </row>
    <row r="272" spans="7:12">
      <c r="G272" s="2"/>
      <c r="H272" s="2"/>
      <c r="I272" s="2"/>
      <c r="L272" s="2"/>
    </row>
    <row r="273" spans="7:12">
      <c r="G273" s="2"/>
      <c r="H273" s="2"/>
      <c r="I273" s="2"/>
      <c r="L273" s="2"/>
    </row>
    <row r="274" spans="7:12">
      <c r="G274" s="2"/>
      <c r="H274" s="2"/>
      <c r="I274" s="2"/>
      <c r="L274" s="2"/>
    </row>
    <row r="275" spans="7:12">
      <c r="G275" s="2"/>
      <c r="H275" s="2"/>
      <c r="I275" s="2"/>
      <c r="L275" s="2"/>
    </row>
    <row r="276" spans="7:12">
      <c r="G276" s="2"/>
      <c r="H276" s="2"/>
      <c r="I276" s="2"/>
      <c r="L276" s="2"/>
    </row>
    <row r="277" spans="7:12">
      <c r="G277" s="2"/>
      <c r="H277" s="2"/>
      <c r="I277" s="2"/>
      <c r="L277" s="2"/>
    </row>
    <row r="278" spans="7:12">
      <c r="G278" s="2"/>
      <c r="H278" s="2"/>
      <c r="I278" s="2"/>
      <c r="L278" s="2"/>
    </row>
    <row r="279" spans="7:12">
      <c r="G279" s="2"/>
      <c r="H279" s="2"/>
      <c r="I279" s="2"/>
      <c r="L279" s="2"/>
    </row>
    <row r="280" spans="7:12">
      <c r="G280" s="2"/>
      <c r="H280" s="2"/>
      <c r="I280" s="2"/>
      <c r="L280" s="2"/>
    </row>
    <row r="281" spans="7:12">
      <c r="G281" s="2"/>
      <c r="H281" s="2"/>
      <c r="I281" s="2"/>
      <c r="L281" s="2"/>
    </row>
    <row r="282" spans="7:12">
      <c r="G282" s="2"/>
      <c r="H282" s="2"/>
      <c r="I282" s="2"/>
      <c r="L282" s="2"/>
    </row>
    <row r="283" spans="7:12">
      <c r="G283" s="2"/>
      <c r="H283" s="2"/>
      <c r="I283" s="2"/>
      <c r="L283" s="2"/>
    </row>
    <row r="284" spans="7:12">
      <c r="G284" s="2"/>
      <c r="H284" s="2"/>
      <c r="I284" s="2"/>
      <c r="L284" s="2"/>
    </row>
    <row r="285" spans="7:12">
      <c r="G285" s="2"/>
      <c r="H285" s="2"/>
      <c r="I285" s="2"/>
      <c r="L285" s="2"/>
    </row>
    <row r="286" spans="7:12">
      <c r="G286" s="2"/>
      <c r="H286" s="2"/>
      <c r="I286" s="2"/>
      <c r="L286" s="2"/>
    </row>
    <row r="287" spans="7:12">
      <c r="G287" s="2"/>
      <c r="H287" s="2"/>
      <c r="I287" s="2"/>
      <c r="L287" s="2"/>
    </row>
    <row r="288" spans="7:12">
      <c r="G288" s="2"/>
      <c r="H288" s="2"/>
      <c r="I288" s="2"/>
      <c r="L288" s="2"/>
    </row>
    <row r="289" spans="7:12">
      <c r="G289" s="2"/>
      <c r="H289" s="2"/>
      <c r="I289" s="2"/>
      <c r="L289" s="2"/>
    </row>
    <row r="290" spans="7:12">
      <c r="G290" s="2"/>
      <c r="H290" s="2"/>
      <c r="I290" s="2"/>
      <c r="L290" s="2"/>
    </row>
    <row r="291" spans="7:12">
      <c r="G291" s="2"/>
      <c r="H291" s="2"/>
      <c r="I291" s="2"/>
      <c r="L291" s="2"/>
    </row>
    <row r="292" spans="7:12">
      <c r="G292" s="2"/>
      <c r="H292" s="2"/>
      <c r="I292" s="2"/>
      <c r="L292" s="2"/>
    </row>
    <row r="293" spans="7:12">
      <c r="G293" s="2"/>
      <c r="H293" s="2"/>
      <c r="I293" s="2"/>
      <c r="L293" s="2"/>
    </row>
    <row r="294" spans="7:12">
      <c r="G294" s="2"/>
      <c r="H294" s="2"/>
      <c r="I294" s="2"/>
      <c r="L294" s="2"/>
    </row>
    <row r="295" spans="7:12">
      <c r="G295" s="2"/>
      <c r="H295" s="2"/>
      <c r="I295" s="2"/>
      <c r="L295" s="2"/>
    </row>
    <row r="296" spans="7:12">
      <c r="G296" s="2"/>
      <c r="H296" s="2"/>
      <c r="I296" s="2"/>
      <c r="L296" s="2"/>
    </row>
    <row r="297" spans="7:12">
      <c r="G297" s="2"/>
      <c r="H297" s="2"/>
      <c r="I297" s="2"/>
      <c r="L297" s="2"/>
    </row>
    <row r="298" spans="7:12">
      <c r="G298" s="2"/>
      <c r="H298" s="2"/>
      <c r="I298" s="2"/>
      <c r="L298" s="2"/>
    </row>
    <row r="299" spans="7:12">
      <c r="G299" s="2"/>
      <c r="H299" s="2"/>
      <c r="I299" s="2"/>
      <c r="L299" s="2"/>
    </row>
    <row r="300" spans="7:12">
      <c r="G300" s="2"/>
      <c r="H300" s="2"/>
      <c r="I300" s="2"/>
      <c r="L300" s="2"/>
    </row>
    <row r="301" spans="7:12">
      <c r="G301" s="2"/>
      <c r="H301" s="2"/>
      <c r="I301" s="2"/>
      <c r="L301" s="2"/>
    </row>
    <row r="302" spans="7:12">
      <c r="G302" s="2"/>
      <c r="H302" s="2"/>
      <c r="I302" s="2"/>
      <c r="L302" s="2"/>
    </row>
    <row r="303" spans="7:12">
      <c r="G303" s="2"/>
      <c r="H303" s="2"/>
      <c r="I303" s="2"/>
      <c r="L303" s="2"/>
    </row>
    <row r="304" spans="7:12">
      <c r="G304" s="2"/>
      <c r="H304" s="2"/>
      <c r="I304" s="2"/>
      <c r="L304" s="2"/>
    </row>
    <row r="305" spans="7:12">
      <c r="G305" s="2"/>
      <c r="H305" s="2"/>
      <c r="I305" s="2"/>
      <c r="L305" s="2"/>
    </row>
    <row r="306" spans="7:12">
      <c r="G306" s="2"/>
      <c r="H306" s="2"/>
      <c r="I306" s="2"/>
      <c r="L306" s="2"/>
    </row>
    <row r="307" spans="7:12">
      <c r="G307" s="2"/>
      <c r="H307" s="2"/>
      <c r="I307" s="2"/>
      <c r="L307" s="2"/>
    </row>
    <row r="308" spans="7:12">
      <c r="G308" s="2"/>
      <c r="H308" s="2"/>
      <c r="I308" s="2"/>
      <c r="L308" s="2"/>
    </row>
    <row r="309" spans="7:12">
      <c r="G309" s="2"/>
      <c r="H309" s="2"/>
      <c r="I309" s="2"/>
      <c r="L309" s="2"/>
    </row>
    <row r="310" spans="7:12">
      <c r="G310" s="2"/>
      <c r="H310" s="2"/>
      <c r="I310" s="2"/>
      <c r="L310" s="2"/>
    </row>
    <row r="311" spans="7:12">
      <c r="G311" s="2"/>
      <c r="H311" s="2"/>
      <c r="I311" s="2"/>
      <c r="L311" s="2"/>
    </row>
    <row r="312" spans="7:12">
      <c r="G312" s="2"/>
      <c r="H312" s="2"/>
      <c r="I312" s="2"/>
      <c r="L312" s="2"/>
    </row>
    <row r="313" spans="7:12">
      <c r="G313" s="2"/>
      <c r="H313" s="2"/>
      <c r="I313" s="2"/>
      <c r="L313" s="2"/>
    </row>
    <row r="314" spans="7:12">
      <c r="G314" s="2"/>
      <c r="H314" s="2"/>
      <c r="I314" s="2"/>
      <c r="L314" s="2"/>
    </row>
    <row r="315" spans="7:12">
      <c r="G315" s="2"/>
      <c r="H315" s="2"/>
      <c r="I315" s="2"/>
      <c r="L315" s="2"/>
    </row>
    <row r="316" spans="7:12">
      <c r="G316" s="2"/>
      <c r="H316" s="2"/>
      <c r="I316" s="2"/>
      <c r="L316" s="2"/>
    </row>
    <row r="317" spans="7:12">
      <c r="G317" s="2"/>
      <c r="H317" s="2"/>
      <c r="I317" s="2"/>
      <c r="L317" s="2"/>
    </row>
    <row r="318" spans="7:12">
      <c r="G318" s="2"/>
      <c r="H318" s="2"/>
      <c r="I318" s="2"/>
      <c r="L318" s="2"/>
    </row>
    <row r="319" spans="7:12">
      <c r="G319" s="2"/>
      <c r="H319" s="2"/>
      <c r="I319" s="2"/>
      <c r="L319" s="2"/>
    </row>
    <row r="320" spans="7:12">
      <c r="G320" s="2"/>
      <c r="H320" s="2"/>
      <c r="I320" s="2"/>
      <c r="L320" s="2"/>
    </row>
    <row r="321" spans="7:12">
      <c r="G321" s="2"/>
      <c r="H321" s="2"/>
      <c r="I321" s="2"/>
      <c r="L321" s="2"/>
    </row>
    <row r="322" spans="7:12">
      <c r="G322" s="2"/>
      <c r="H322" s="2"/>
      <c r="I322" s="2"/>
      <c r="L322" s="2"/>
    </row>
    <row r="323" spans="7:12">
      <c r="G323" s="2"/>
      <c r="H323" s="2"/>
      <c r="I323" s="2"/>
      <c r="L323" s="2"/>
    </row>
    <row r="324" spans="7:12">
      <c r="G324" s="2"/>
      <c r="H324" s="2"/>
      <c r="I324" s="2"/>
      <c r="L324" s="2"/>
    </row>
    <row r="325" spans="7:12">
      <c r="G325" s="2"/>
      <c r="H325" s="2"/>
      <c r="I325" s="2"/>
      <c r="L325" s="2"/>
    </row>
    <row r="326" spans="7:12">
      <c r="G326" s="2"/>
      <c r="H326" s="2"/>
      <c r="I326" s="2"/>
      <c r="L326" s="2"/>
    </row>
    <row r="327" spans="7:12">
      <c r="G327" s="2"/>
      <c r="H327" s="2"/>
      <c r="I327" s="2"/>
      <c r="L327" s="2"/>
    </row>
    <row r="328" spans="7:12">
      <c r="G328" s="2"/>
      <c r="H328" s="2"/>
      <c r="I328" s="2"/>
      <c r="L328" s="2"/>
    </row>
    <row r="329" spans="7:12">
      <c r="G329" s="2"/>
      <c r="H329" s="2"/>
      <c r="I329" s="2"/>
      <c r="L329" s="2"/>
    </row>
    <row r="330" spans="7:12">
      <c r="G330" s="2"/>
      <c r="H330" s="2"/>
      <c r="I330" s="2"/>
      <c r="L330" s="2"/>
    </row>
    <row r="331" spans="7:12">
      <c r="G331" s="2"/>
      <c r="H331" s="2"/>
      <c r="I331" s="2"/>
      <c r="L331" s="2"/>
    </row>
    <row r="332" spans="7:12">
      <c r="G332" s="2"/>
      <c r="H332" s="2"/>
      <c r="I332" s="2"/>
      <c r="L332" s="2"/>
    </row>
    <row r="333" spans="7:12">
      <c r="G333" s="2"/>
      <c r="H333" s="2"/>
      <c r="I333" s="2"/>
      <c r="L333" s="2"/>
    </row>
    <row r="334" spans="7:12">
      <c r="G334" s="2"/>
      <c r="H334" s="2"/>
      <c r="I334" s="2"/>
      <c r="L334" s="2"/>
    </row>
    <row r="335" spans="7:12">
      <c r="G335" s="2"/>
      <c r="H335" s="2"/>
      <c r="I335" s="2"/>
      <c r="L335" s="2"/>
    </row>
    <row r="336" spans="7:12">
      <c r="G336" s="2"/>
      <c r="H336" s="2"/>
      <c r="I336" s="2"/>
      <c r="L336" s="2"/>
    </row>
    <row r="337" spans="7:12">
      <c r="G337" s="2"/>
      <c r="H337" s="2"/>
      <c r="I337" s="2"/>
      <c r="L337" s="2"/>
    </row>
    <row r="338" spans="7:12">
      <c r="G338" s="2"/>
      <c r="H338" s="2"/>
      <c r="I338" s="2"/>
      <c r="L338" s="2"/>
    </row>
    <row r="339" spans="7:12">
      <c r="G339" s="2"/>
      <c r="H339" s="2"/>
      <c r="I339" s="2"/>
      <c r="L339" s="2"/>
    </row>
    <row r="340" spans="7:12">
      <c r="G340" s="2"/>
      <c r="H340" s="2"/>
      <c r="I340" s="2"/>
      <c r="L340" s="2"/>
    </row>
    <row r="341" spans="7:12">
      <c r="G341" s="2"/>
      <c r="H341" s="2"/>
      <c r="I341" s="2"/>
      <c r="L341" s="2"/>
    </row>
    <row r="342" spans="7:12">
      <c r="G342" s="2"/>
      <c r="H342" s="2"/>
      <c r="I342" s="2"/>
      <c r="L342" s="2"/>
    </row>
    <row r="343" spans="7:12">
      <c r="G343" s="2"/>
      <c r="H343" s="2"/>
      <c r="I343" s="2"/>
      <c r="L343" s="2"/>
    </row>
    <row r="344" spans="7:12">
      <c r="G344" s="2"/>
      <c r="H344" s="2"/>
      <c r="I344" s="2"/>
      <c r="L344" s="2"/>
    </row>
    <row r="345" spans="7:12">
      <c r="G345" s="2"/>
      <c r="H345" s="2"/>
      <c r="I345" s="2"/>
      <c r="L345" s="2"/>
    </row>
    <row r="346" spans="7:12">
      <c r="G346" s="2"/>
      <c r="H346" s="2"/>
      <c r="I346" s="2"/>
      <c r="L346" s="2"/>
    </row>
    <row r="347" spans="7:12">
      <c r="G347" s="2"/>
      <c r="H347" s="2"/>
      <c r="I347" s="2"/>
      <c r="L347" s="2"/>
    </row>
    <row r="348" spans="7:12">
      <c r="G348" s="2"/>
      <c r="H348" s="2"/>
      <c r="I348" s="2"/>
      <c r="L348" s="2"/>
    </row>
    <row r="349" spans="7:9">
      <c r="G349" s="2"/>
      <c r="H349" s="2"/>
      <c r="I349" s="2"/>
    </row>
    <row r="350" spans="7:9">
      <c r="G350" s="2"/>
      <c r="H350" s="2"/>
      <c r="I350" s="2"/>
    </row>
    <row r="351" spans="7:9">
      <c r="G351" s="2"/>
      <c r="H351" s="2"/>
      <c r="I351" s="2"/>
    </row>
    <row r="352" spans="7:9">
      <c r="G352" s="2"/>
      <c r="H352" s="2"/>
      <c r="I352" s="2"/>
    </row>
    <row r="353" spans="7:9">
      <c r="G353" s="2"/>
      <c r="H353" s="2"/>
      <c r="I353" s="2"/>
    </row>
    <row r="354" spans="7:9">
      <c r="G354" s="2"/>
      <c r="H354" s="2"/>
      <c r="I354" s="2"/>
    </row>
    <row r="355" spans="7:9">
      <c r="G355" s="2"/>
      <c r="H355" s="2"/>
      <c r="I355" s="2"/>
    </row>
    <row r="356" spans="7:9">
      <c r="G356" s="2"/>
      <c r="H356" s="2"/>
      <c r="I356" s="2"/>
    </row>
    <row r="357" spans="7:9">
      <c r="G357" s="2"/>
      <c r="H357" s="2"/>
      <c r="I357" s="2"/>
    </row>
    <row r="358" spans="7:9">
      <c r="G358" s="2"/>
      <c r="H358" s="2"/>
      <c r="I358" s="2"/>
    </row>
    <row r="359" spans="7:9">
      <c r="G359" s="2"/>
      <c r="H359" s="2"/>
      <c r="I359" s="2"/>
    </row>
    <row r="360" spans="7:9">
      <c r="G360" s="2"/>
      <c r="H360" s="2"/>
      <c r="I360" s="2"/>
    </row>
    <row r="361" spans="7:9">
      <c r="G361" s="2"/>
      <c r="H361" s="2"/>
      <c r="I361" s="2"/>
    </row>
    <row r="362" spans="7:9">
      <c r="G362" s="2"/>
      <c r="H362" s="2"/>
      <c r="I362" s="2"/>
    </row>
    <row r="363" spans="7:9">
      <c r="G363" s="2"/>
      <c r="H363" s="2"/>
      <c r="I363" s="2"/>
    </row>
    <row r="364" spans="7:9">
      <c r="G364" s="2"/>
      <c r="H364" s="2"/>
      <c r="I364" s="2"/>
    </row>
    <row r="365" spans="7:9">
      <c r="G365" s="2"/>
      <c r="H365" s="2"/>
      <c r="I365" s="2"/>
    </row>
    <row r="366" spans="7:9">
      <c r="G366" s="2"/>
      <c r="H366" s="2"/>
      <c r="I366" s="2"/>
    </row>
    <row r="367" spans="7:9">
      <c r="G367" s="2"/>
      <c r="H367" s="2"/>
      <c r="I367" s="2"/>
    </row>
    <row r="368" spans="7:9">
      <c r="G368" s="2"/>
      <c r="H368" s="2"/>
      <c r="I368" s="2"/>
    </row>
    <row r="369" spans="7:9">
      <c r="G369" s="2"/>
      <c r="H369" s="2"/>
      <c r="I369" s="2"/>
    </row>
    <row r="370" spans="7:9">
      <c r="G370" s="2"/>
      <c r="H370" s="2"/>
      <c r="I370" s="2"/>
    </row>
    <row r="371" spans="7:9">
      <c r="G371" s="2"/>
      <c r="H371" s="2"/>
      <c r="I371" s="2"/>
    </row>
    <row r="372" spans="7:9">
      <c r="G372" s="2"/>
      <c r="H372" s="2"/>
      <c r="I372" s="2"/>
    </row>
    <row r="373" spans="7:9">
      <c r="G373" s="2"/>
      <c r="H373" s="2"/>
      <c r="I373" s="2"/>
    </row>
    <row r="374" spans="7:9">
      <c r="G374" s="2"/>
      <c r="H374" s="2"/>
      <c r="I374" s="2"/>
    </row>
    <row r="375" spans="7:9">
      <c r="G375" s="2"/>
      <c r="H375" s="2"/>
      <c r="I375" s="2"/>
    </row>
    <row r="376" spans="7:9">
      <c r="G376" s="2"/>
      <c r="H376" s="2"/>
      <c r="I376" s="2"/>
    </row>
    <row r="377" spans="7:9">
      <c r="G377" s="2"/>
      <c r="H377" s="2"/>
      <c r="I377" s="2"/>
    </row>
    <row r="378" spans="7:9">
      <c r="G378" s="2"/>
      <c r="H378" s="2"/>
      <c r="I378" s="2"/>
    </row>
    <row r="379" spans="7:9">
      <c r="G379" s="2"/>
      <c r="H379" s="2"/>
      <c r="I379" s="2"/>
    </row>
    <row r="380" spans="7:9">
      <c r="G380" s="2"/>
      <c r="H380" s="2"/>
      <c r="I380" s="2"/>
    </row>
    <row r="381" spans="7:9">
      <c r="G381" s="2"/>
      <c r="H381" s="2"/>
      <c r="I381" s="2"/>
    </row>
    <row r="382" spans="7:9">
      <c r="G382" s="2"/>
      <c r="H382" s="2"/>
      <c r="I382" s="2"/>
    </row>
    <row r="383" spans="7:9">
      <c r="G383" s="2"/>
      <c r="H383" s="2"/>
      <c r="I383" s="2"/>
    </row>
    <row r="384" spans="7:9">
      <c r="G384" s="2"/>
      <c r="H384" s="2"/>
      <c r="I384" s="2"/>
    </row>
    <row r="385" spans="7:9">
      <c r="G385" s="2"/>
      <c r="H385" s="2"/>
      <c r="I385" s="2"/>
    </row>
    <row r="386" spans="7:9">
      <c r="G386" s="2"/>
      <c r="H386" s="2"/>
      <c r="I386" s="2"/>
    </row>
    <row r="387" spans="7:9">
      <c r="G387" s="2"/>
      <c r="H387" s="2"/>
      <c r="I387" s="2"/>
    </row>
    <row r="388" spans="7:9">
      <c r="G388" s="2"/>
      <c r="H388" s="2"/>
      <c r="I388" s="2"/>
    </row>
    <row r="389" spans="7:9">
      <c r="G389" s="2"/>
      <c r="H389" s="2"/>
      <c r="I389" s="2"/>
    </row>
    <row r="390" spans="7:9">
      <c r="G390" s="2"/>
      <c r="H390" s="2"/>
      <c r="I390" s="2"/>
    </row>
    <row r="391" spans="7:9">
      <c r="G391" s="2"/>
      <c r="H391" s="2"/>
      <c r="I391" s="2"/>
    </row>
    <row r="392" spans="7:9">
      <c r="G392" s="2"/>
      <c r="H392" s="2"/>
      <c r="I392" s="2"/>
    </row>
    <row r="393" spans="7:9">
      <c r="G393" s="2"/>
      <c r="H393" s="2"/>
      <c r="I393" s="2"/>
    </row>
    <row r="394" spans="7:9">
      <c r="G394" s="2"/>
      <c r="H394" s="2"/>
      <c r="I394" s="2"/>
    </row>
    <row r="395" spans="7:9">
      <c r="G395" s="2"/>
      <c r="H395" s="2"/>
      <c r="I395" s="2"/>
    </row>
    <row r="396" spans="7:9">
      <c r="G396" s="2"/>
      <c r="H396" s="2"/>
      <c r="I396" s="2"/>
    </row>
    <row r="397" spans="7:9">
      <c r="G397" s="2"/>
      <c r="H397" s="2"/>
      <c r="I397" s="2"/>
    </row>
    <row r="398" spans="7:9">
      <c r="G398" s="2"/>
      <c r="H398" s="2"/>
      <c r="I398" s="2"/>
    </row>
    <row r="399" spans="7:9">
      <c r="G399" s="2"/>
      <c r="H399" s="2"/>
      <c r="I399" s="2"/>
    </row>
    <row r="400" spans="7:9">
      <c r="G400" s="2"/>
      <c r="H400" s="2"/>
      <c r="I400" s="2"/>
    </row>
    <row r="401" spans="7:9">
      <c r="G401" s="2"/>
      <c r="H401" s="2"/>
      <c r="I401" s="2"/>
    </row>
    <row r="402" spans="7:9">
      <c r="G402" s="2"/>
      <c r="H402" s="2"/>
      <c r="I402" s="2"/>
    </row>
    <row r="403" spans="7:9">
      <c r="G403" s="2"/>
      <c r="H403" s="2"/>
      <c r="I403" s="2"/>
    </row>
    <row r="404" spans="7:9">
      <c r="G404" s="2"/>
      <c r="H404" s="2"/>
      <c r="I404" s="2"/>
    </row>
    <row r="405" spans="7:9">
      <c r="G405" s="2"/>
      <c r="H405" s="2"/>
      <c r="I405" s="2"/>
    </row>
    <row r="406" spans="7:9">
      <c r="G406" s="2"/>
      <c r="H406" s="2"/>
      <c r="I406" s="2"/>
    </row>
    <row r="407" spans="7:9">
      <c r="G407" s="2"/>
      <c r="H407" s="2"/>
      <c r="I407" s="2"/>
    </row>
    <row r="408" spans="7:9">
      <c r="G408" s="2"/>
      <c r="H408" s="2"/>
      <c r="I408" s="2"/>
    </row>
    <row r="409" spans="7:9">
      <c r="G409" s="2"/>
      <c r="H409" s="2"/>
      <c r="I409" s="2"/>
    </row>
    <row r="410" spans="7:9">
      <c r="G410" s="2"/>
      <c r="H410" s="2"/>
      <c r="I410" s="2"/>
    </row>
    <row r="411" spans="7:9">
      <c r="G411" s="2"/>
      <c r="H411" s="2"/>
      <c r="I411" s="2"/>
    </row>
    <row r="412" spans="7:9">
      <c r="G412" s="2"/>
      <c r="H412" s="2"/>
      <c r="I412" s="2"/>
    </row>
    <row r="413" spans="7:9">
      <c r="G413" s="2"/>
      <c r="H413" s="2"/>
      <c r="I413" s="2"/>
    </row>
    <row r="414" spans="7:9">
      <c r="G414" s="2"/>
      <c r="H414" s="2"/>
      <c r="I414" s="2"/>
    </row>
    <row r="415" spans="7:9">
      <c r="G415" s="2"/>
      <c r="H415" s="2"/>
      <c r="I415" s="2"/>
    </row>
    <row r="416" spans="7:9">
      <c r="G416" s="2"/>
      <c r="H416" s="2"/>
      <c r="I416" s="2"/>
    </row>
    <row r="417" spans="7:9">
      <c r="G417" s="2"/>
      <c r="H417" s="2"/>
      <c r="I417" s="2"/>
    </row>
    <row r="418" spans="7:9">
      <c r="G418" s="2"/>
      <c r="H418" s="2"/>
      <c r="I418" s="2"/>
    </row>
    <row r="419" spans="7:9">
      <c r="G419" s="2"/>
      <c r="H419" s="2"/>
      <c r="I419" s="2"/>
    </row>
    <row r="420" spans="7:9">
      <c r="G420" s="2"/>
      <c r="H420" s="2"/>
      <c r="I420" s="2"/>
    </row>
    <row r="421" spans="7:9">
      <c r="G421" s="2"/>
      <c r="H421" s="2"/>
      <c r="I421" s="2"/>
    </row>
    <row r="422" spans="7:9">
      <c r="G422" s="2"/>
      <c r="H422" s="2"/>
      <c r="I422" s="2"/>
    </row>
    <row r="423" spans="7:9">
      <c r="G423" s="2"/>
      <c r="H423" s="2"/>
      <c r="I423" s="2"/>
    </row>
    <row r="424" spans="7:9">
      <c r="G424" s="2"/>
      <c r="H424" s="2"/>
      <c r="I424" s="2"/>
    </row>
    <row r="425" spans="7:9">
      <c r="G425" s="2"/>
      <c r="H425" s="2"/>
      <c r="I425" s="2"/>
    </row>
    <row r="426" spans="7:9">
      <c r="G426" s="2"/>
      <c r="H426" s="2"/>
      <c r="I426" s="2"/>
    </row>
    <row r="427" spans="8:9">
      <c r="H427" s="2"/>
      <c r="I427" s="2"/>
    </row>
    <row r="428" spans="8:9">
      <c r="H428" s="2"/>
      <c r="I428" s="2"/>
    </row>
    <row r="429" spans="8:9">
      <c r="H429" s="2"/>
      <c r="I429" s="2"/>
    </row>
    <row r="430" spans="8:9">
      <c r="H430" s="2"/>
      <c r="I430" s="2"/>
    </row>
    <row r="431" spans="8:9">
      <c r="H431" s="2"/>
      <c r="I431" s="2"/>
    </row>
    <row r="432" spans="8:9">
      <c r="H432" s="2"/>
      <c r="I432" s="2"/>
    </row>
    <row r="433" spans="8:9">
      <c r="H433" s="2"/>
      <c r="I433" s="2"/>
    </row>
    <row r="434" spans="8:9">
      <c r="H434" s="2"/>
      <c r="I434" s="2"/>
    </row>
    <row r="435" spans="8:9">
      <c r="H435" s="2"/>
      <c r="I435" s="2"/>
    </row>
    <row r="436" spans="8:9">
      <c r="H436" s="2"/>
      <c r="I436" s="2"/>
    </row>
    <row r="437" spans="8:9">
      <c r="H437" s="2"/>
      <c r="I437" s="2"/>
    </row>
    <row r="438" spans="8:9">
      <c r="H438" s="2"/>
      <c r="I438" s="2"/>
    </row>
    <row r="439" spans="8:9">
      <c r="H439" s="2"/>
      <c r="I439" s="2"/>
    </row>
    <row r="440" spans="8:9">
      <c r="H440" s="2"/>
      <c r="I440" s="2"/>
    </row>
    <row r="441" spans="8:9">
      <c r="H441" s="2"/>
      <c r="I441" s="2"/>
    </row>
    <row r="442" spans="8:9">
      <c r="H442" s="2"/>
      <c r="I442" s="2"/>
    </row>
    <row r="443" spans="8:9">
      <c r="H443" s="2"/>
      <c r="I443" s="2"/>
    </row>
    <row r="444" spans="8:9">
      <c r="H444" s="2"/>
      <c r="I444" s="2"/>
    </row>
    <row r="445" spans="8:9">
      <c r="H445" s="2"/>
      <c r="I445" s="2"/>
    </row>
    <row r="446" spans="8:9">
      <c r="H446" s="2"/>
      <c r="I446" s="2"/>
    </row>
    <row r="447" spans="8:9">
      <c r="H447" s="2"/>
      <c r="I447" s="2"/>
    </row>
    <row r="448" spans="8:9">
      <c r="H448" s="2"/>
      <c r="I448" s="2"/>
    </row>
    <row r="449" spans="8:9">
      <c r="H449" s="2"/>
      <c r="I449" s="2"/>
    </row>
    <row r="450" spans="8:9">
      <c r="H450" s="2"/>
      <c r="I450" s="2"/>
    </row>
    <row r="451" spans="8:9">
      <c r="H451" s="2"/>
      <c r="I451" s="2"/>
    </row>
    <row r="452" spans="8:9">
      <c r="H452" s="2"/>
      <c r="I452" s="2"/>
    </row>
    <row r="453" spans="8:9">
      <c r="H453" s="2"/>
      <c r="I453" s="2"/>
    </row>
    <row r="454" spans="8:9">
      <c r="H454" s="2"/>
      <c r="I454" s="2"/>
    </row>
    <row r="455" spans="8:9">
      <c r="H455" s="2"/>
      <c r="I455" s="2"/>
    </row>
    <row r="456" spans="8:9">
      <c r="H456" s="2"/>
      <c r="I456" s="2"/>
    </row>
    <row r="457" spans="8:9">
      <c r="H457" s="2"/>
      <c r="I457" s="2"/>
    </row>
    <row r="458" spans="8:9">
      <c r="H458" s="2"/>
      <c r="I458" s="2"/>
    </row>
    <row r="459" spans="8:9">
      <c r="H459" s="2"/>
      <c r="I459" s="2"/>
    </row>
    <row r="460" spans="8:9">
      <c r="H460" s="2"/>
      <c r="I460" s="2"/>
    </row>
    <row r="461" spans="8:9">
      <c r="H461" s="2"/>
      <c r="I461" s="2"/>
    </row>
    <row r="462" spans="8:9">
      <c r="H462" s="2"/>
      <c r="I462" s="2"/>
    </row>
    <row r="463" spans="8:9">
      <c r="H463" s="2"/>
      <c r="I463" s="2"/>
    </row>
    <row r="464" spans="8:9">
      <c r="H464" s="2"/>
      <c r="I464" s="2"/>
    </row>
    <row r="465" spans="8:9">
      <c r="H465" s="2"/>
      <c r="I465" s="2"/>
    </row>
    <row r="466" spans="8:9">
      <c r="H466" s="2"/>
      <c r="I466" s="2"/>
    </row>
    <row r="467" spans="8:9">
      <c r="H467" s="2"/>
      <c r="I467" s="2"/>
    </row>
    <row r="468" spans="8:9">
      <c r="H468" s="2"/>
      <c r="I468" s="2"/>
    </row>
    <row r="469" spans="8:9">
      <c r="H469" s="2"/>
      <c r="I469" s="2"/>
    </row>
    <row r="470" spans="8:9">
      <c r="H470" s="2"/>
      <c r="I470" s="2"/>
    </row>
    <row r="471" spans="8:9">
      <c r="H471" s="2"/>
      <c r="I471" s="2"/>
    </row>
    <row r="472" spans="8:9">
      <c r="H472" s="2"/>
      <c r="I472" s="2"/>
    </row>
    <row r="473" spans="8:9">
      <c r="H473" s="2"/>
      <c r="I473" s="2"/>
    </row>
    <row r="474" spans="8:9">
      <c r="H474" s="2"/>
      <c r="I474" s="2"/>
    </row>
    <row r="475" spans="8:9">
      <c r="H475" s="2"/>
      <c r="I475" s="2"/>
    </row>
    <row r="476" spans="8:9">
      <c r="H476" s="2"/>
      <c r="I476" s="2"/>
    </row>
    <row r="477" spans="8:9">
      <c r="H477" s="2"/>
      <c r="I477" s="2"/>
    </row>
    <row r="478" spans="8:9">
      <c r="H478" s="2"/>
      <c r="I478" s="2"/>
    </row>
    <row r="479" spans="8:9">
      <c r="H479" s="2"/>
      <c r="I479" s="2"/>
    </row>
    <row r="480" spans="8:9">
      <c r="H480" s="2"/>
      <c r="I480" s="2"/>
    </row>
    <row r="481" spans="8:9">
      <c r="H481" s="2"/>
      <c r="I481" s="2"/>
    </row>
    <row r="482" spans="8:9">
      <c r="H482" s="2"/>
      <c r="I482" s="2"/>
    </row>
    <row r="483" spans="8:9">
      <c r="H483" s="2"/>
      <c r="I483" s="2"/>
    </row>
    <row r="484" spans="8:9">
      <c r="H484" s="2"/>
      <c r="I484" s="2"/>
    </row>
    <row r="485" spans="8:9">
      <c r="H485" s="2"/>
      <c r="I485" s="2"/>
    </row>
    <row r="486" spans="8:9">
      <c r="H486" s="2"/>
      <c r="I486" s="2"/>
    </row>
    <row r="487" spans="8:9">
      <c r="H487" s="2"/>
      <c r="I487" s="2"/>
    </row>
    <row r="488" spans="8:9">
      <c r="H488" s="2"/>
      <c r="I488" s="2"/>
    </row>
    <row r="489" spans="8:9">
      <c r="H489" s="2"/>
      <c r="I489" s="2"/>
    </row>
    <row r="490" spans="8:9">
      <c r="H490" s="2"/>
      <c r="I490" s="2"/>
    </row>
    <row r="491" spans="8:9">
      <c r="H491" s="2"/>
      <c r="I491" s="2"/>
    </row>
    <row r="492" spans="8:9">
      <c r="H492" s="2"/>
      <c r="I492" s="2"/>
    </row>
    <row r="493" spans="8:9">
      <c r="H493" s="2"/>
      <c r="I493" s="2"/>
    </row>
    <row r="494" spans="8:9">
      <c r="H494" s="2"/>
      <c r="I494" s="2"/>
    </row>
    <row r="495" spans="8:9">
      <c r="H495" s="2"/>
      <c r="I495" s="2"/>
    </row>
    <row r="496" spans="8:9">
      <c r="H496" s="2"/>
      <c r="I496" s="2"/>
    </row>
    <row r="497" spans="8:9">
      <c r="H497" s="2"/>
      <c r="I497" s="2"/>
    </row>
    <row r="498" spans="8:9">
      <c r="H498" s="2"/>
      <c r="I498" s="2"/>
    </row>
    <row r="499" spans="8:9">
      <c r="H499" s="2"/>
      <c r="I499" s="2"/>
    </row>
    <row r="500" spans="8:9">
      <c r="H500" s="2"/>
      <c r="I500" s="2"/>
    </row>
    <row r="501" spans="8:9">
      <c r="H501" s="2"/>
      <c r="I501" s="2"/>
    </row>
    <row r="502" spans="8:9">
      <c r="H502" s="2"/>
      <c r="I502" s="2"/>
    </row>
    <row r="503" spans="8:9">
      <c r="H503" s="2"/>
      <c r="I503" s="2"/>
    </row>
    <row r="504" spans="8:9">
      <c r="H504" s="2"/>
      <c r="I504" s="2"/>
    </row>
    <row r="505" spans="8:9">
      <c r="H505" s="2"/>
      <c r="I505" s="2"/>
    </row>
    <row r="506" spans="8:9">
      <c r="H506" s="2"/>
      <c r="I506" s="2"/>
    </row>
    <row r="507" spans="8:9">
      <c r="H507" s="2"/>
      <c r="I507" s="2"/>
    </row>
    <row r="508" spans="8:9">
      <c r="H508" s="2"/>
      <c r="I508" s="2"/>
    </row>
    <row r="509" spans="8:9">
      <c r="H509" s="2"/>
      <c r="I509" s="2"/>
    </row>
    <row r="510" spans="8:9">
      <c r="H510" s="2"/>
      <c r="I510" s="2"/>
    </row>
    <row r="511" spans="8:9">
      <c r="H511" s="2"/>
      <c r="I511" s="2"/>
    </row>
    <row r="512" spans="8:9">
      <c r="H512" s="2"/>
      <c r="I512" s="2"/>
    </row>
    <row r="513" spans="8:9">
      <c r="H513" s="2"/>
      <c r="I513" s="2"/>
    </row>
    <row r="514" spans="8:9">
      <c r="H514" s="2"/>
      <c r="I514" s="2"/>
    </row>
    <row r="515" spans="8:9">
      <c r="H515" s="2"/>
      <c r="I515" s="2"/>
    </row>
    <row r="516" spans="8:9">
      <c r="H516" s="2"/>
      <c r="I516" s="2"/>
    </row>
    <row r="517" spans="8:9">
      <c r="H517" s="2"/>
      <c r="I517" s="2"/>
    </row>
    <row r="518" spans="8:9">
      <c r="H518" s="2"/>
      <c r="I518" s="2"/>
    </row>
    <row r="519" spans="8:9">
      <c r="H519" s="2"/>
      <c r="I519" s="2"/>
    </row>
    <row r="520" spans="8:9">
      <c r="H520" s="2"/>
      <c r="I520" s="2"/>
    </row>
    <row r="521" spans="8:9">
      <c r="H521" s="2"/>
      <c r="I521" s="2"/>
    </row>
    <row r="522" spans="8:9">
      <c r="H522" s="2"/>
      <c r="I522" s="2"/>
    </row>
    <row r="523" spans="8:9">
      <c r="H523" s="2"/>
      <c r="I523" s="2"/>
    </row>
    <row r="524" spans="8:9">
      <c r="H524" s="2"/>
      <c r="I524" s="2"/>
    </row>
    <row r="525" spans="8:9">
      <c r="H525" s="2"/>
      <c r="I525" s="2"/>
    </row>
    <row r="526" spans="8:9">
      <c r="H526" s="2"/>
      <c r="I526" s="2"/>
    </row>
    <row r="527" spans="8:9">
      <c r="H527" s="2"/>
      <c r="I527" s="2"/>
    </row>
    <row r="528" spans="8:9">
      <c r="H528" s="2"/>
      <c r="I528" s="2"/>
    </row>
    <row r="529" spans="8:9">
      <c r="H529" s="2"/>
      <c r="I529" s="2"/>
    </row>
    <row r="530" spans="8:9">
      <c r="H530" s="2"/>
      <c r="I530" s="2"/>
    </row>
    <row r="531" spans="8:9">
      <c r="H531" s="2"/>
      <c r="I531" s="2"/>
    </row>
    <row r="532" spans="8:9">
      <c r="H532" s="2"/>
      <c r="I532" s="2"/>
    </row>
    <row r="533" spans="8:9">
      <c r="H533" s="2"/>
      <c r="I533" s="2"/>
    </row>
    <row r="534" spans="8:9">
      <c r="H534" s="2"/>
      <c r="I534" s="2"/>
    </row>
    <row r="535" spans="8:9">
      <c r="H535" s="2"/>
      <c r="I535" s="2"/>
    </row>
    <row r="536" spans="8:9">
      <c r="H536" s="2"/>
      <c r="I536" s="2"/>
    </row>
    <row r="537" spans="8:9">
      <c r="H537" s="2"/>
      <c r="I537" s="2"/>
    </row>
    <row r="538" spans="8:9">
      <c r="H538" s="2"/>
      <c r="I538" s="2"/>
    </row>
    <row r="539" spans="8:9">
      <c r="H539" s="2"/>
      <c r="I539" s="2"/>
    </row>
    <row r="540" spans="8:9">
      <c r="H540" s="2"/>
      <c r="I540" s="2"/>
    </row>
    <row r="541" spans="8:9">
      <c r="H541" s="2"/>
      <c r="I541" s="2"/>
    </row>
    <row r="542" spans="8:9">
      <c r="H542" s="2"/>
      <c r="I542" s="2"/>
    </row>
    <row r="543" spans="8:9">
      <c r="H543" s="2"/>
      <c r="I543" s="2"/>
    </row>
    <row r="544" spans="8:9">
      <c r="H544" s="2"/>
      <c r="I544" s="2"/>
    </row>
    <row r="545" spans="8:9">
      <c r="H545" s="2"/>
      <c r="I545" s="2"/>
    </row>
    <row r="546" spans="8:9">
      <c r="H546" s="2"/>
      <c r="I546" s="2"/>
    </row>
    <row r="547" spans="8:9">
      <c r="H547" s="2"/>
      <c r="I547" s="2"/>
    </row>
    <row r="548" spans="8:9">
      <c r="H548" s="2"/>
      <c r="I548" s="2"/>
    </row>
    <row r="549" spans="8:9">
      <c r="H549" s="2"/>
      <c r="I549" s="2"/>
    </row>
    <row r="550" spans="8:9">
      <c r="H550" s="2"/>
      <c r="I550" s="2"/>
    </row>
    <row r="551" spans="8:9">
      <c r="H551" s="2"/>
      <c r="I551" s="2"/>
    </row>
    <row r="552" spans="8:9">
      <c r="H552" s="2"/>
      <c r="I552" s="2"/>
    </row>
    <row r="553" spans="8:9">
      <c r="H553" s="2"/>
      <c r="I553" s="2"/>
    </row>
    <row r="554" spans="8:9">
      <c r="H554" s="2"/>
      <c r="I554" s="2"/>
    </row>
    <row r="555" spans="8:9">
      <c r="H555" s="2"/>
      <c r="I555" s="2"/>
    </row>
    <row r="556" spans="8:9">
      <c r="H556" s="2"/>
      <c r="I556" s="2"/>
    </row>
    <row r="557" spans="8:9">
      <c r="H557" s="2"/>
      <c r="I557" s="2"/>
    </row>
    <row r="558" spans="8:9">
      <c r="H558" s="2"/>
      <c r="I558" s="2"/>
    </row>
    <row r="559" spans="8:9">
      <c r="H559" s="2"/>
      <c r="I559" s="2"/>
    </row>
    <row r="560" spans="8:9">
      <c r="H560" s="2"/>
      <c r="I560" s="2"/>
    </row>
    <row r="561" spans="8:9">
      <c r="H561" s="2"/>
      <c r="I561" s="2"/>
    </row>
    <row r="562" spans="8:9">
      <c r="H562" s="2"/>
      <c r="I562" s="2"/>
    </row>
    <row r="563" spans="8:9">
      <c r="H563" s="2"/>
      <c r="I563" s="2"/>
    </row>
    <row r="564" spans="8:9">
      <c r="H564" s="2"/>
      <c r="I564" s="2"/>
    </row>
    <row r="565" spans="8:9">
      <c r="H565" s="2"/>
      <c r="I565" s="2"/>
    </row>
    <row r="566" spans="8:9">
      <c r="H566" s="2"/>
      <c r="I566" s="2"/>
    </row>
    <row r="567" spans="8:9">
      <c r="H567" s="2"/>
      <c r="I567" s="2"/>
    </row>
    <row r="568" spans="8:9">
      <c r="H568" s="2"/>
      <c r="I568" s="2"/>
    </row>
    <row r="569" spans="8:9">
      <c r="H569" s="2"/>
      <c r="I569" s="2"/>
    </row>
    <row r="570" spans="8:9">
      <c r="H570" s="2"/>
      <c r="I570" s="2"/>
    </row>
    <row r="571" spans="8:9">
      <c r="H571" s="2"/>
      <c r="I571" s="2"/>
    </row>
    <row r="572" spans="8:9">
      <c r="H572" s="2"/>
      <c r="I572" s="2"/>
    </row>
    <row r="573" spans="8:9">
      <c r="H573" s="2"/>
      <c r="I573" s="2"/>
    </row>
    <row r="574" spans="8:9">
      <c r="H574" s="2"/>
      <c r="I574" s="2"/>
    </row>
    <row r="575" spans="8:9">
      <c r="H575" s="2"/>
      <c r="I575" s="2"/>
    </row>
    <row r="576" spans="8:9">
      <c r="H576" s="2"/>
      <c r="I576" s="2"/>
    </row>
    <row r="577" spans="8:9">
      <c r="H577" s="2"/>
      <c r="I577" s="2"/>
    </row>
    <row r="578" spans="8:9">
      <c r="H578" s="2"/>
      <c r="I578" s="2"/>
    </row>
    <row r="579" spans="8:9">
      <c r="H579" s="2"/>
      <c r="I579" s="2"/>
    </row>
    <row r="580" spans="8:9">
      <c r="H580" s="2"/>
      <c r="I580" s="2"/>
    </row>
    <row r="581" spans="8:9">
      <c r="H581" s="2"/>
      <c r="I581" s="2"/>
    </row>
    <row r="582" spans="8:9">
      <c r="H582" s="2"/>
      <c r="I582" s="2"/>
    </row>
    <row r="583" spans="8:9">
      <c r="H583" s="2"/>
      <c r="I583" s="2"/>
    </row>
    <row r="584" spans="8:9">
      <c r="H584" s="2"/>
      <c r="I584" s="2"/>
    </row>
    <row r="585" spans="8:9">
      <c r="H585" s="2"/>
      <c r="I585" s="2"/>
    </row>
    <row r="586" spans="8:9">
      <c r="H586" s="2"/>
      <c r="I586" s="2"/>
    </row>
    <row r="587" spans="8:9">
      <c r="H587" s="2"/>
      <c r="I587" s="2"/>
    </row>
    <row r="588" spans="8:9">
      <c r="H588" s="2"/>
      <c r="I588" s="2"/>
    </row>
    <row r="589" spans="8:9">
      <c r="H589" s="2"/>
      <c r="I589" s="2"/>
    </row>
    <row r="590" spans="8:9">
      <c r="H590" s="2"/>
      <c r="I590" s="2"/>
    </row>
    <row r="591" spans="8:9">
      <c r="H591" s="2"/>
      <c r="I591" s="2"/>
    </row>
    <row r="592" spans="8:9">
      <c r="H592" s="2"/>
      <c r="I592" s="2"/>
    </row>
    <row r="593" spans="8:9">
      <c r="H593" s="2"/>
      <c r="I593" s="2"/>
    </row>
    <row r="594" spans="8:9">
      <c r="H594" s="2"/>
      <c r="I594" s="2"/>
    </row>
    <row r="595" spans="8:9">
      <c r="H595" s="2"/>
      <c r="I595" s="2"/>
    </row>
    <row r="596" spans="8:9">
      <c r="H596" s="2"/>
      <c r="I596" s="2"/>
    </row>
    <row r="597" spans="8:9">
      <c r="H597" s="2"/>
      <c r="I597" s="2"/>
    </row>
    <row r="598" spans="8:9">
      <c r="H598" s="2"/>
      <c r="I598" s="2"/>
    </row>
    <row r="599" spans="8:9">
      <c r="H599" s="2"/>
      <c r="I599" s="2"/>
    </row>
    <row r="600" spans="8:9">
      <c r="H600" s="2"/>
      <c r="I600" s="2"/>
    </row>
    <row r="601" spans="8:9">
      <c r="H601" s="2"/>
      <c r="I601" s="2"/>
    </row>
    <row r="602" spans="8:9">
      <c r="H602" s="2"/>
      <c r="I602" s="2"/>
    </row>
    <row r="603" spans="8:9">
      <c r="H603" s="2"/>
      <c r="I603" s="2"/>
    </row>
    <row r="604" spans="8:9">
      <c r="H604" s="2"/>
      <c r="I604" s="2"/>
    </row>
    <row r="605" spans="8:9">
      <c r="H605" s="2"/>
      <c r="I605" s="2"/>
    </row>
    <row r="606" spans="8:9">
      <c r="H606" s="2"/>
      <c r="I606" s="2"/>
    </row>
    <row r="607" spans="8:9">
      <c r="H607" s="2"/>
      <c r="I607" s="2"/>
    </row>
    <row r="608" spans="8:9">
      <c r="H608" s="2"/>
      <c r="I608" s="2"/>
    </row>
    <row r="609" spans="8:9">
      <c r="H609" s="2"/>
      <c r="I609" s="2"/>
    </row>
    <row r="610" spans="8:9">
      <c r="H610" s="2"/>
      <c r="I610" s="2"/>
    </row>
    <row r="611" spans="9:9">
      <c r="I611" s="2"/>
    </row>
    <row r="612" spans="9:9">
      <c r="I612" s="2"/>
    </row>
    <row r="613" spans="9:9">
      <c r="I613" s="2"/>
    </row>
    <row r="614" spans="9:9">
      <c r="I614" s="2"/>
    </row>
    <row r="615" spans="9:9">
      <c r="I615" s="2"/>
    </row>
    <row r="616" spans="9:9">
      <c r="I616" s="2"/>
    </row>
    <row r="617" spans="9:9">
      <c r="I617" s="2"/>
    </row>
    <row r="618" spans="9:9">
      <c r="I618" s="2"/>
    </row>
    <row r="619" spans="9:9">
      <c r="I619" s="2"/>
    </row>
    <row r="620" spans="9:9">
      <c r="I620" s="2"/>
    </row>
    <row r="621" spans="9:9">
      <c r="I621" s="2"/>
    </row>
    <row r="622" spans="9:9">
      <c r="I622" s="2"/>
    </row>
    <row r="623" spans="9:9">
      <c r="I623" s="2"/>
    </row>
    <row r="624" spans="9:9">
      <c r="I624" s="2"/>
    </row>
    <row r="625" spans="9:9">
      <c r="I625" s="2"/>
    </row>
    <row r="626" spans="9:9">
      <c r="I626" s="2"/>
    </row>
    <row r="627" spans="9:9">
      <c r="I627" s="2"/>
    </row>
    <row r="628" spans="9:9">
      <c r="I628" s="2"/>
    </row>
    <row r="629" spans="9:9">
      <c r="I629" s="2"/>
    </row>
    <row r="630" spans="9:9">
      <c r="I630" s="2"/>
    </row>
    <row r="631" spans="9:9">
      <c r="I631" s="2"/>
    </row>
    <row r="632" spans="9:9">
      <c r="I632" s="2"/>
    </row>
    <row r="633" spans="9:9">
      <c r="I633" s="2"/>
    </row>
    <row r="634" spans="9:9">
      <c r="I634" s="2"/>
    </row>
    <row r="635" spans="9:9">
      <c r="I635" s="2"/>
    </row>
    <row r="636" spans="9:9">
      <c r="I636" s="2"/>
    </row>
    <row r="637" spans="9:9">
      <c r="I637" s="2"/>
    </row>
    <row r="638" spans="9:9">
      <c r="I638" s="2"/>
    </row>
    <row r="639" spans="9:9">
      <c r="I639" s="2"/>
    </row>
    <row r="640" spans="9:9">
      <c r="I640" s="2"/>
    </row>
    <row r="641" spans="9:9">
      <c r="I641" s="2"/>
    </row>
    <row r="642" spans="9:9">
      <c r="I642" s="2"/>
    </row>
    <row r="643" spans="9:9">
      <c r="I643" s="2"/>
    </row>
    <row r="644" spans="9:9">
      <c r="I644" s="2"/>
    </row>
    <row r="645" spans="9:9">
      <c r="I645" s="2"/>
    </row>
    <row r="646" spans="9:9">
      <c r="I646" s="2"/>
    </row>
    <row r="647" spans="9:9">
      <c r="I647" s="2"/>
    </row>
    <row r="648" spans="9:9">
      <c r="I648" s="2"/>
    </row>
    <row r="649" spans="9:9">
      <c r="I649" s="2"/>
    </row>
    <row r="650" spans="9:9">
      <c r="I650" s="2"/>
    </row>
    <row r="651" spans="9:9">
      <c r="I651" s="2"/>
    </row>
    <row r="652" spans="9:9">
      <c r="I652" s="2"/>
    </row>
    <row r="653" spans="9:9">
      <c r="I653" s="2"/>
    </row>
    <row r="654" spans="9:9">
      <c r="I654" s="2"/>
    </row>
    <row r="655" spans="9:9">
      <c r="I655" s="2"/>
    </row>
    <row r="656" spans="9:9">
      <c r="I656" s="2"/>
    </row>
    <row r="657" spans="9:9">
      <c r="I657" s="2"/>
    </row>
    <row r="658" spans="9:9">
      <c r="I658" s="2"/>
    </row>
    <row r="659" spans="9:9">
      <c r="I659" s="2"/>
    </row>
    <row r="660" spans="9:9">
      <c r="I660" s="2"/>
    </row>
    <row r="661" spans="9:9">
      <c r="I661" s="2"/>
    </row>
    <row r="662" spans="9:9">
      <c r="I662" s="2"/>
    </row>
    <row r="663" spans="9:9">
      <c r="I663" s="2"/>
    </row>
    <row r="664" spans="9:9">
      <c r="I664" s="2"/>
    </row>
    <row r="665" spans="9:9">
      <c r="I665" s="2"/>
    </row>
    <row r="666" spans="9:9">
      <c r="I666" s="2"/>
    </row>
    <row r="667" spans="9:9">
      <c r="I667" s="2"/>
    </row>
    <row r="668" spans="9:9">
      <c r="I668" s="2"/>
    </row>
    <row r="669" spans="9:9">
      <c r="I669" s="2"/>
    </row>
    <row r="670" spans="9:9">
      <c r="I670" s="2"/>
    </row>
    <row r="671" spans="9:9">
      <c r="I671" s="2"/>
    </row>
    <row r="672" spans="9:9">
      <c r="I672" s="2"/>
    </row>
    <row r="673" spans="9:9">
      <c r="I673" s="2"/>
    </row>
    <row r="674" spans="9:9">
      <c r="I674" s="2"/>
    </row>
    <row r="675" spans="9:9">
      <c r="I675" s="2"/>
    </row>
    <row r="676" spans="9:9">
      <c r="I676" s="2"/>
    </row>
    <row r="677" spans="9:9">
      <c r="I677" s="2"/>
    </row>
    <row r="678" spans="9:9">
      <c r="I678" s="2"/>
    </row>
    <row r="679" spans="9:9">
      <c r="I679" s="2"/>
    </row>
    <row r="680" spans="9:9">
      <c r="I680" s="2"/>
    </row>
    <row r="681" spans="9:9">
      <c r="I681" s="2"/>
    </row>
    <row r="682" spans="9:9">
      <c r="I682" s="2"/>
    </row>
    <row r="683" spans="9:9">
      <c r="I683" s="2"/>
    </row>
    <row r="684" spans="9:9">
      <c r="I684" s="2"/>
    </row>
    <row r="685" spans="9:9">
      <c r="I685" s="2"/>
    </row>
    <row r="686" spans="9:9">
      <c r="I686" s="2"/>
    </row>
    <row r="687" spans="9:9">
      <c r="I687" s="2"/>
    </row>
    <row r="688" spans="9:9">
      <c r="I688" s="2"/>
    </row>
    <row r="689" spans="9:9">
      <c r="I689" s="2"/>
    </row>
    <row r="690" spans="9:9">
      <c r="I690" s="2"/>
    </row>
    <row r="691" spans="9:9">
      <c r="I691" s="2"/>
    </row>
    <row r="692" spans="9:9">
      <c r="I692" s="2"/>
    </row>
    <row r="693" spans="9:9">
      <c r="I693" s="2"/>
    </row>
    <row r="694" spans="9:9">
      <c r="I694" s="2"/>
    </row>
    <row r="695" spans="9:9">
      <c r="I695" s="2"/>
    </row>
    <row r="696" spans="9:9">
      <c r="I696" s="2"/>
    </row>
    <row r="697" spans="9:9">
      <c r="I697" s="2"/>
    </row>
    <row r="698" spans="9:9">
      <c r="I698" s="2"/>
    </row>
    <row r="699" spans="9:9">
      <c r="I699" s="2"/>
    </row>
    <row r="700" spans="9:9">
      <c r="I700" s="2"/>
    </row>
    <row r="701" spans="9:9">
      <c r="I701" s="2"/>
    </row>
    <row r="702" spans="9:9">
      <c r="I702" s="2"/>
    </row>
    <row r="703" spans="9:9">
      <c r="I703" s="2"/>
    </row>
    <row r="704" spans="9:9">
      <c r="I704" s="2"/>
    </row>
    <row r="705" spans="9:9">
      <c r="I705" s="2"/>
    </row>
    <row r="706" spans="9:9">
      <c r="I706" s="2"/>
    </row>
    <row r="707" spans="9:9">
      <c r="I707" s="2"/>
    </row>
    <row r="708" spans="9:9">
      <c r="I708" s="2"/>
    </row>
    <row r="709" spans="9:9">
      <c r="I709" s="2"/>
    </row>
    <row r="710" spans="9:9">
      <c r="I710" s="2"/>
    </row>
    <row r="711" spans="9:9">
      <c r="I711" s="2"/>
    </row>
    <row r="712" spans="9:9">
      <c r="I712" s="2"/>
    </row>
    <row r="713" spans="9:9">
      <c r="I713" s="2"/>
    </row>
    <row r="714" spans="9:9">
      <c r="I714" s="2"/>
    </row>
    <row r="715" spans="9:9">
      <c r="I715" s="2"/>
    </row>
    <row r="716" spans="9:9">
      <c r="I716" s="2"/>
    </row>
    <row r="717" spans="9:9">
      <c r="I717" s="2"/>
    </row>
    <row r="718" spans="9:9">
      <c r="I718" s="2"/>
    </row>
    <row r="719" spans="9:9">
      <c r="I719" s="2"/>
    </row>
    <row r="720" spans="9:9">
      <c r="I720" s="2"/>
    </row>
    <row r="721" spans="9:9">
      <c r="I721" s="2"/>
    </row>
    <row r="722" spans="9:9">
      <c r="I722" s="2"/>
    </row>
    <row r="723" spans="9:9">
      <c r="I723" s="2"/>
    </row>
    <row r="724" spans="9:9">
      <c r="I724" s="2"/>
    </row>
    <row r="725" spans="9:9">
      <c r="I725" s="2"/>
    </row>
    <row r="726" spans="9:9">
      <c r="I726" s="2"/>
    </row>
    <row r="727" spans="9:9">
      <c r="I727" s="2"/>
    </row>
    <row r="728" spans="9:9">
      <c r="I728" s="2"/>
    </row>
    <row r="729" spans="9:9">
      <c r="I729" s="2"/>
    </row>
    <row r="730" spans="9:9">
      <c r="I730" s="2"/>
    </row>
    <row r="731" spans="9:9">
      <c r="I731" s="2"/>
    </row>
    <row r="732" spans="9:9">
      <c r="I732" s="2"/>
    </row>
    <row r="733" spans="9:9">
      <c r="I733" s="2"/>
    </row>
    <row r="734" spans="9:9">
      <c r="I734" s="2"/>
    </row>
    <row r="735" spans="9:9">
      <c r="I735" s="2"/>
    </row>
    <row r="736" spans="9:9">
      <c r="I736" s="2"/>
    </row>
    <row r="737" spans="9:9">
      <c r="I737" s="2"/>
    </row>
    <row r="738" spans="9:9">
      <c r="I738" s="2"/>
    </row>
    <row r="739" spans="9:9">
      <c r="I739" s="2"/>
    </row>
    <row r="740" spans="9:9">
      <c r="I740" s="2"/>
    </row>
    <row r="741" spans="9:9">
      <c r="I741" s="2"/>
    </row>
    <row r="742" spans="9:9">
      <c r="I742" s="2"/>
    </row>
    <row r="743" spans="9:9">
      <c r="I743" s="2"/>
    </row>
    <row r="744" spans="9:9">
      <c r="I744" s="2"/>
    </row>
    <row r="745" spans="9:9">
      <c r="I745" s="2"/>
    </row>
    <row r="746" spans="9:9">
      <c r="I746" s="2"/>
    </row>
    <row r="747" spans="9:9">
      <c r="I747" s="2"/>
    </row>
    <row r="748" spans="9:9">
      <c r="I748" s="2"/>
    </row>
    <row r="749" spans="9:9">
      <c r="I749" s="2"/>
    </row>
    <row r="750" spans="9:9">
      <c r="I750" s="2"/>
    </row>
    <row r="751" spans="9:9">
      <c r="I751" s="2"/>
    </row>
    <row r="752" spans="9:9">
      <c r="I752" s="2"/>
    </row>
    <row r="753" spans="9:9">
      <c r="I753" s="2"/>
    </row>
    <row r="754" spans="9:9">
      <c r="I754" s="2"/>
    </row>
    <row r="755" spans="9:9">
      <c r="I755" s="2"/>
    </row>
    <row r="756" spans="9:9">
      <c r="I756" s="2"/>
    </row>
    <row r="757" spans="9:9">
      <c r="I757" s="2"/>
    </row>
    <row r="758" spans="9:9">
      <c r="I758" s="2"/>
    </row>
    <row r="759" spans="9:9">
      <c r="I759" s="2"/>
    </row>
    <row r="760" spans="9:9">
      <c r="I760" s="2"/>
    </row>
    <row r="761" spans="9:9">
      <c r="I761" s="2"/>
    </row>
    <row r="762" spans="9:9">
      <c r="I762" s="2"/>
    </row>
    <row r="763" spans="9:9">
      <c r="I763" s="2"/>
    </row>
    <row r="764" spans="9:9">
      <c r="I764" s="2"/>
    </row>
    <row r="765" spans="9:9">
      <c r="I765" s="2"/>
    </row>
    <row r="766" spans="9:9">
      <c r="I766" s="2"/>
    </row>
    <row r="767" spans="9:9">
      <c r="I767" s="2"/>
    </row>
    <row r="768" spans="9:9">
      <c r="I768" s="2"/>
    </row>
    <row r="769" spans="9:9">
      <c r="I769" s="2"/>
    </row>
    <row r="770" spans="9:9">
      <c r="I770" s="2"/>
    </row>
    <row r="771" spans="9:9">
      <c r="I771" s="2"/>
    </row>
    <row r="772" spans="9:9">
      <c r="I772" s="2"/>
    </row>
    <row r="773" spans="9:9">
      <c r="I773" s="2"/>
    </row>
    <row r="774" spans="9:9">
      <c r="I774" s="2"/>
    </row>
    <row r="775" spans="9:9">
      <c r="I775" s="2"/>
    </row>
    <row r="776" spans="9:9">
      <c r="I776" s="2"/>
    </row>
    <row r="777" spans="9:9">
      <c r="I777" s="2"/>
    </row>
    <row r="778" spans="9:9">
      <c r="I778" s="2"/>
    </row>
    <row r="779" spans="9:9">
      <c r="I779" s="2"/>
    </row>
    <row r="780" spans="9:9">
      <c r="I780" s="2"/>
    </row>
    <row r="781" spans="9:9">
      <c r="I781" s="2"/>
    </row>
    <row r="782" spans="9:9">
      <c r="I782" s="2"/>
    </row>
    <row r="783" spans="9:9">
      <c r="I783" s="2"/>
    </row>
    <row r="784" spans="9:9">
      <c r="I784" s="2"/>
    </row>
    <row r="785" spans="9:9">
      <c r="I785" s="2"/>
    </row>
    <row r="786" spans="9:9">
      <c r="I786" s="2"/>
    </row>
    <row r="787" spans="9:9">
      <c r="I787" s="2"/>
    </row>
    <row r="788" spans="9:9">
      <c r="I788" s="2"/>
    </row>
    <row r="789" spans="9:9">
      <c r="I789" s="2"/>
    </row>
    <row r="790" spans="9:9">
      <c r="I790" s="2"/>
    </row>
    <row r="791" spans="9:9">
      <c r="I791" s="2"/>
    </row>
    <row r="792" spans="9:9">
      <c r="I792" s="2"/>
    </row>
    <row r="793" spans="9:9">
      <c r="I793" s="2"/>
    </row>
    <row r="794" spans="9:9">
      <c r="I794" s="2"/>
    </row>
    <row r="795" spans="9:9">
      <c r="I795" s="2"/>
    </row>
    <row r="796" spans="9:9">
      <c r="I796" s="2"/>
    </row>
    <row r="797" spans="9:9">
      <c r="I797" s="2"/>
    </row>
    <row r="798" spans="9:9">
      <c r="I798" s="2"/>
    </row>
    <row r="799" spans="9:9">
      <c r="I799" s="2"/>
    </row>
    <row r="800" spans="9:9">
      <c r="I800" s="2"/>
    </row>
    <row r="801" spans="9:9">
      <c r="I801" s="2"/>
    </row>
    <row r="802" spans="9:9">
      <c r="I802" s="2"/>
    </row>
    <row r="803" spans="9:9">
      <c r="I803" s="2"/>
    </row>
    <row r="804" spans="9:9">
      <c r="I804" s="2"/>
    </row>
    <row r="805" spans="9:9">
      <c r="I805" s="2"/>
    </row>
    <row r="806" spans="9:9">
      <c r="I806" s="2"/>
    </row>
    <row r="807" spans="9:9">
      <c r="I807" s="2"/>
    </row>
    <row r="808" spans="9:9">
      <c r="I808" s="2"/>
    </row>
    <row r="809" spans="9:9">
      <c r="I809" s="2"/>
    </row>
    <row r="810" spans="9:9">
      <c r="I810" s="2"/>
    </row>
    <row r="811" spans="9:9">
      <c r="I811" s="2"/>
    </row>
    <row r="812" spans="9:9">
      <c r="I812" s="2"/>
    </row>
    <row r="813" spans="9:9">
      <c r="I813" s="2"/>
    </row>
    <row r="814" spans="9:9">
      <c r="I814" s="2"/>
    </row>
    <row r="815" spans="9:9">
      <c r="I815" s="2"/>
    </row>
    <row r="816" spans="9:9">
      <c r="I816" s="2"/>
    </row>
    <row r="817" spans="9:9">
      <c r="I817" s="2"/>
    </row>
    <row r="818" spans="9:9">
      <c r="I818" s="2"/>
    </row>
    <row r="819" spans="9:9">
      <c r="I819" s="2"/>
    </row>
    <row r="820" spans="9:9">
      <c r="I820" s="2"/>
    </row>
    <row r="821" spans="9:9">
      <c r="I821" s="2"/>
    </row>
    <row r="822" spans="9:9">
      <c r="I822" s="2"/>
    </row>
    <row r="823" spans="9:9">
      <c r="I823" s="2"/>
    </row>
    <row r="824" spans="9:9">
      <c r="I824" s="2"/>
    </row>
    <row r="825" spans="9:9">
      <c r="I825" s="2"/>
    </row>
    <row r="826" spans="9:9">
      <c r="I826" s="2"/>
    </row>
    <row r="827" spans="9:9">
      <c r="I827" s="2"/>
    </row>
    <row r="828" spans="9:9">
      <c r="I828" s="2"/>
    </row>
    <row r="829" spans="9:9">
      <c r="I829" s="2"/>
    </row>
    <row r="830" spans="9:9">
      <c r="I830" s="2"/>
    </row>
    <row r="831" spans="9:9">
      <c r="I831" s="2"/>
    </row>
    <row r="832" spans="9:9">
      <c r="I832" s="2"/>
    </row>
    <row r="833" spans="9:9">
      <c r="I833" s="2"/>
    </row>
    <row r="834" spans="9:9">
      <c r="I834" s="2"/>
    </row>
    <row r="835" spans="9:9">
      <c r="I835" s="2"/>
    </row>
    <row r="836" spans="9:9">
      <c r="I836" s="2"/>
    </row>
    <row r="837" spans="9:9">
      <c r="I837" s="2"/>
    </row>
    <row r="838" spans="9:9">
      <c r="I838" s="2"/>
    </row>
    <row r="839" spans="9:9">
      <c r="I839" s="2"/>
    </row>
    <row r="840" spans="9:9">
      <c r="I840" s="2"/>
    </row>
    <row r="841" spans="9:9">
      <c r="I841" s="2"/>
    </row>
    <row r="842" spans="9:9">
      <c r="I842" s="2"/>
    </row>
    <row r="843" spans="9:9">
      <c r="I843" s="2"/>
    </row>
    <row r="844" spans="9:9">
      <c r="I844" s="2"/>
    </row>
    <row r="845" spans="9:9">
      <c r="I845" s="2"/>
    </row>
    <row r="846" spans="9:9">
      <c r="I846" s="2"/>
    </row>
    <row r="847" spans="9:9">
      <c r="I847" s="2"/>
    </row>
    <row r="848" spans="9:9">
      <c r="I848" s="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abSelected="1" workbookViewId="0">
      <selection activeCell="H20" sqref="H20"/>
    </sheetView>
  </sheetViews>
  <sheetFormatPr defaultColWidth="9" defaultRowHeight="13.5"/>
  <cols>
    <col min="1" max="2" width="13.25" customWidth="1"/>
    <col min="3" max="3" width="14.25" customWidth="1"/>
    <col min="4" max="4" width="13.625" customWidth="1"/>
    <col min="5" max="5" width="14.375" customWidth="1"/>
    <col min="8" max="10" width="12.625"/>
  </cols>
  <sheetData>
    <row r="1" spans="1:9">
      <c r="A1" s="1" t="s">
        <v>10</v>
      </c>
      <c r="B1" s="1" t="s">
        <v>11</v>
      </c>
      <c r="C1" s="1" t="s">
        <v>1</v>
      </c>
      <c r="D1" s="1" t="s">
        <v>2</v>
      </c>
      <c r="E1" s="1" t="s">
        <v>3</v>
      </c>
      <c r="G1" s="2"/>
      <c r="H1" s="2"/>
      <c r="I1" s="2"/>
    </row>
    <row r="2" spans="1:9">
      <c r="A2" s="3" t="s">
        <v>4</v>
      </c>
      <c r="B2" s="4" t="s">
        <v>12</v>
      </c>
      <c r="C2" s="2">
        <v>0.782468750000001</v>
      </c>
      <c r="D2" s="4">
        <v>0.739097222222222</v>
      </c>
      <c r="E2" s="4">
        <v>0.746660377358491</v>
      </c>
      <c r="G2" s="2"/>
      <c r="H2" s="2"/>
      <c r="I2" s="2"/>
    </row>
    <row r="3" spans="1:9">
      <c r="A3" s="3"/>
      <c r="B3" s="4" t="s">
        <v>13</v>
      </c>
      <c r="C3" s="4">
        <v>0.658894736842105</v>
      </c>
      <c r="D3" s="4">
        <v>0.637365853658537</v>
      </c>
      <c r="E3" s="4">
        <v>0.61595652173913</v>
      </c>
      <c r="G3" s="2"/>
      <c r="H3" s="2"/>
      <c r="I3" s="2"/>
    </row>
    <row r="4" spans="1:9">
      <c r="A4" s="4"/>
      <c r="B4" s="4" t="s">
        <v>14</v>
      </c>
      <c r="C4" s="5">
        <v>0.670961165048544</v>
      </c>
      <c r="D4" s="5">
        <v>0.684725</v>
      </c>
      <c r="E4" s="4">
        <v>0.6335</v>
      </c>
      <c r="G4" s="2"/>
      <c r="H4" s="2"/>
      <c r="I4" s="2"/>
    </row>
    <row r="5" spans="1:9">
      <c r="A5" s="3" t="s">
        <v>5</v>
      </c>
      <c r="B5" s="4" t="s">
        <v>15</v>
      </c>
      <c r="C5" s="5">
        <v>0.785489898989899</v>
      </c>
      <c r="D5" s="5">
        <v>0.799539877300614</v>
      </c>
      <c r="E5" s="5">
        <v>0.752611940298507</v>
      </c>
      <c r="G5" s="2"/>
      <c r="H5" s="2"/>
      <c r="I5" s="2"/>
    </row>
    <row r="6" spans="1:9">
      <c r="A6" s="3"/>
      <c r="B6" s="4" t="s">
        <v>16</v>
      </c>
      <c r="C6" s="4">
        <v>0.822792307692308</v>
      </c>
      <c r="D6" s="4">
        <v>0.813654054054054</v>
      </c>
      <c r="E6" s="4">
        <v>0.79395652173913</v>
      </c>
      <c r="G6" s="2"/>
      <c r="H6" s="2"/>
      <c r="I6" s="2"/>
    </row>
    <row r="7" spans="1:9">
      <c r="A7" s="3"/>
      <c r="B7" s="4" t="s">
        <v>17</v>
      </c>
      <c r="C7" s="4">
        <v>0.773163265306122</v>
      </c>
      <c r="D7" s="4">
        <v>0.710987804878049</v>
      </c>
      <c r="E7" s="4">
        <v>0.763191304347826</v>
      </c>
      <c r="G7" s="2"/>
      <c r="H7" s="2"/>
      <c r="I7" s="2"/>
    </row>
    <row r="8" spans="1:9">
      <c r="A8" s="3"/>
      <c r="B8" s="4" t="s">
        <v>18</v>
      </c>
      <c r="C8" s="4">
        <v>0.816991266375546</v>
      </c>
      <c r="D8" s="4">
        <v>0.79429746835443</v>
      </c>
      <c r="E8" s="4">
        <v>0.787636363636364</v>
      </c>
      <c r="G8" s="2"/>
      <c r="H8" s="2"/>
      <c r="I8" s="2"/>
    </row>
    <row r="9" spans="1:9">
      <c r="A9" s="3"/>
      <c r="B9" s="4" t="s">
        <v>19</v>
      </c>
      <c r="C9" s="4">
        <v>0.707285714285714</v>
      </c>
      <c r="D9" s="4">
        <v>0.738181818181818</v>
      </c>
      <c r="E9" s="4">
        <v>0.6795</v>
      </c>
      <c r="G9" s="2"/>
      <c r="H9" s="2"/>
      <c r="I9" s="2"/>
    </row>
    <row r="10" spans="1:9">
      <c r="A10" s="6" t="s">
        <v>6</v>
      </c>
      <c r="B10" s="4" t="s">
        <v>6</v>
      </c>
      <c r="C10" s="4">
        <v>0.75681220657277</v>
      </c>
      <c r="D10" s="4">
        <v>0.744190476190476</v>
      </c>
      <c r="E10" s="4">
        <v>0.709284482758621</v>
      </c>
      <c r="G10" s="2"/>
      <c r="H10" s="2"/>
      <c r="I10" s="2"/>
    </row>
    <row r="11" spans="1:9">
      <c r="A11" s="3" t="s">
        <v>7</v>
      </c>
      <c r="B11" s="4" t="s">
        <v>20</v>
      </c>
      <c r="C11" s="5">
        <v>0.604784615384615</v>
      </c>
      <c r="D11" s="5">
        <v>0.643172043010753</v>
      </c>
      <c r="E11" s="5">
        <v>0.632066666666667</v>
      </c>
      <c r="F11" t="s">
        <v>21</v>
      </c>
      <c r="G11" s="2"/>
      <c r="H11" s="2"/>
      <c r="I11" s="2"/>
    </row>
    <row r="12" spans="1:9">
      <c r="A12" s="3"/>
      <c r="B12" s="4" t="s">
        <v>22</v>
      </c>
      <c r="C12" s="5">
        <v>0.807633744855968</v>
      </c>
      <c r="D12" s="5">
        <v>0.81139430894309</v>
      </c>
      <c r="E12" s="4">
        <v>0.757072072072072</v>
      </c>
      <c r="G12" s="2"/>
      <c r="H12" s="2"/>
      <c r="I12" s="2"/>
    </row>
    <row r="13" spans="1:9">
      <c r="A13" s="4"/>
      <c r="B13" s="4" t="s">
        <v>23</v>
      </c>
      <c r="C13" s="4">
        <v>0.758025</v>
      </c>
      <c r="D13" s="4">
        <v>0.718795454545455</v>
      </c>
      <c r="E13" s="4">
        <v>0.726584415584415</v>
      </c>
      <c r="G13" s="2"/>
      <c r="H13" s="2"/>
      <c r="I13" s="2"/>
    </row>
    <row r="14" spans="7:9">
      <c r="G14" s="2"/>
      <c r="H14" s="2"/>
      <c r="I14" s="2"/>
    </row>
    <row r="15" spans="7:9">
      <c r="G15" s="2"/>
      <c r="H15" s="2"/>
      <c r="I15" s="2"/>
    </row>
    <row r="16" spans="7:9">
      <c r="G16" s="2"/>
      <c r="H16" s="2"/>
      <c r="I16" s="2"/>
    </row>
    <row r="17" spans="3:9">
      <c r="C17" s="2"/>
      <c r="G17" s="2"/>
      <c r="H17" s="2"/>
      <c r="I17" s="2"/>
    </row>
    <row r="18" spans="1:9">
      <c r="A18" s="7" t="s">
        <v>24</v>
      </c>
      <c r="C18" s="2"/>
      <c r="G18" s="2"/>
      <c r="H18" s="2"/>
      <c r="I18" s="2"/>
    </row>
    <row r="19" spans="1:9">
      <c r="A19" s="1" t="s">
        <v>0</v>
      </c>
      <c r="B19" s="1" t="s">
        <v>1</v>
      </c>
      <c r="C19" s="1" t="s">
        <v>2</v>
      </c>
      <c r="D19" s="1" t="s">
        <v>3</v>
      </c>
      <c r="G19" s="2"/>
      <c r="H19" s="2"/>
      <c r="I19" s="2"/>
    </row>
    <row r="20" spans="1:9">
      <c r="A20" s="4" t="s">
        <v>4</v>
      </c>
      <c r="B20" s="4">
        <f>AVERAGE(C2:C4)</f>
        <v>0.704108217296883</v>
      </c>
      <c r="C20" s="4">
        <f>AVERAGE(D2:D4)</f>
        <v>0.687062691960253</v>
      </c>
      <c r="D20" s="4">
        <f>AVERAGE(E2:E4)</f>
        <v>0.665372299699207</v>
      </c>
      <c r="G20" s="2"/>
      <c r="H20" s="2"/>
      <c r="I20" s="2"/>
    </row>
    <row r="21" spans="1:9">
      <c r="A21" s="4" t="s">
        <v>5</v>
      </c>
      <c r="B21" s="4">
        <f>AVERAGE(C5:C9)</f>
        <v>0.781144490529918</v>
      </c>
      <c r="C21" s="4">
        <f>AVERAGE(D5:D9)</f>
        <v>0.771332204553793</v>
      </c>
      <c r="D21" s="4">
        <f>AVERAGE(E5:E9)</f>
        <v>0.755379226004366</v>
      </c>
      <c r="G21" s="2"/>
      <c r="H21" s="2"/>
      <c r="I21" s="2"/>
    </row>
    <row r="22" spans="1:9">
      <c r="A22" s="4" t="s">
        <v>6</v>
      </c>
      <c r="B22" s="4">
        <f>C10</f>
        <v>0.75681220657277</v>
      </c>
      <c r="C22" s="4">
        <f>D10</f>
        <v>0.744190476190476</v>
      </c>
      <c r="D22" s="4">
        <f>E10</f>
        <v>0.709284482758621</v>
      </c>
      <c r="G22" s="2"/>
      <c r="H22" s="2"/>
      <c r="I22" s="2"/>
    </row>
    <row r="23" spans="1:9">
      <c r="A23" s="4" t="s">
        <v>7</v>
      </c>
      <c r="B23" s="4">
        <f>AVERAGE(C11:C13)</f>
        <v>0.723481120080194</v>
      </c>
      <c r="C23" s="4">
        <f>AVERAGE(D11:D13)</f>
        <v>0.724453935499766</v>
      </c>
      <c r="D23" s="4">
        <f>AVERAGE(E11:E13)</f>
        <v>0.705241051441051</v>
      </c>
      <c r="G23" s="2"/>
      <c r="H23" s="2"/>
      <c r="I23" s="2"/>
    </row>
    <row r="24" spans="1:9">
      <c r="A24" s="4" t="s">
        <v>8</v>
      </c>
      <c r="B24" s="4">
        <f>AVERAGE(B20:B23)</f>
        <v>0.741386508619941</v>
      </c>
      <c r="C24" s="4">
        <f>AVERAGE(C20:C23)</f>
        <v>0.731759827051072</v>
      </c>
      <c r="D24" s="4">
        <f>AVERAGE(D20:D23)</f>
        <v>0.708819264975811</v>
      </c>
      <c r="G24" s="2"/>
      <c r="H24" s="2"/>
      <c r="I24" s="2"/>
    </row>
    <row r="25" spans="3:9">
      <c r="C25" s="2"/>
      <c r="G25" s="2"/>
      <c r="H25" s="2"/>
      <c r="I25" s="2"/>
    </row>
    <row r="26" spans="3:9">
      <c r="C26" s="2"/>
      <c r="G26" s="2"/>
      <c r="H26" s="2"/>
      <c r="I26" s="2"/>
    </row>
    <row r="27" spans="3:9">
      <c r="C27" s="2"/>
      <c r="G27" s="2"/>
      <c r="H27" s="2"/>
      <c r="I27" s="2"/>
    </row>
    <row r="28" spans="1:9">
      <c r="A28" s="7" t="s">
        <v>25</v>
      </c>
      <c r="C28" s="2"/>
      <c r="G28" s="2"/>
      <c r="H28" s="2"/>
      <c r="I28" s="2"/>
    </row>
    <row r="29" spans="1:9">
      <c r="A29" s="1" t="s">
        <v>10</v>
      </c>
      <c r="B29" s="1" t="s">
        <v>11</v>
      </c>
      <c r="C29" s="1" t="s">
        <v>1</v>
      </c>
      <c r="D29" s="1" t="s">
        <v>2</v>
      </c>
      <c r="E29" s="1" t="s">
        <v>3</v>
      </c>
      <c r="G29" s="2"/>
      <c r="H29" s="2"/>
      <c r="I29" s="2"/>
    </row>
    <row r="30" spans="1:9">
      <c r="A30" s="3" t="s">
        <v>4</v>
      </c>
      <c r="B30" s="4" t="s">
        <v>12</v>
      </c>
      <c r="C30" s="8">
        <f>C2*100</f>
        <v>78.2468750000001</v>
      </c>
      <c r="D30" s="8">
        <f>D2*100</f>
        <v>73.9097222222222</v>
      </c>
      <c r="E30" s="8">
        <f>E2*100</f>
        <v>74.6660377358491</v>
      </c>
      <c r="G30" s="2"/>
      <c r="H30" s="2"/>
      <c r="I30" s="2"/>
    </row>
    <row r="31" spans="1:9">
      <c r="A31" s="3"/>
      <c r="B31" s="4" t="s">
        <v>13</v>
      </c>
      <c r="C31" s="8">
        <f t="shared" ref="C31:C41" si="0">C3*100</f>
        <v>65.8894736842105</v>
      </c>
      <c r="D31" s="8">
        <f t="shared" ref="D31:D41" si="1">D3*100</f>
        <v>63.7365853658537</v>
      </c>
      <c r="E31" s="8">
        <f t="shared" ref="E31:E41" si="2">E3*100</f>
        <v>61.595652173913</v>
      </c>
      <c r="G31" s="2"/>
      <c r="H31" s="2"/>
      <c r="I31" s="2"/>
    </row>
    <row r="32" spans="1:9">
      <c r="A32" s="4"/>
      <c r="B32" s="4" t="s">
        <v>14</v>
      </c>
      <c r="C32" s="8">
        <f t="shared" si="0"/>
        <v>67.0961165048544</v>
      </c>
      <c r="D32" s="8">
        <f t="shared" si="1"/>
        <v>68.4725</v>
      </c>
      <c r="E32" s="8">
        <f t="shared" si="2"/>
        <v>63.35</v>
      </c>
      <c r="G32" s="2"/>
      <c r="H32" s="2"/>
      <c r="I32" s="2"/>
    </row>
    <row r="33" spans="1:9">
      <c r="A33" s="3" t="s">
        <v>5</v>
      </c>
      <c r="B33" s="4" t="s">
        <v>15</v>
      </c>
      <c r="C33" s="8">
        <f t="shared" si="0"/>
        <v>78.5489898989899</v>
      </c>
      <c r="D33" s="8">
        <f t="shared" si="1"/>
        <v>79.9539877300614</v>
      </c>
      <c r="E33" s="8">
        <f t="shared" si="2"/>
        <v>75.2611940298507</v>
      </c>
      <c r="G33" s="2"/>
      <c r="H33" s="2"/>
      <c r="I33" s="2"/>
    </row>
    <row r="34" spans="1:9">
      <c r="A34" s="3"/>
      <c r="B34" s="4" t="s">
        <v>16</v>
      </c>
      <c r="C34" s="8">
        <f t="shared" si="0"/>
        <v>82.2792307692308</v>
      </c>
      <c r="D34" s="8">
        <f t="shared" si="1"/>
        <v>81.3654054054054</v>
      </c>
      <c r="E34" s="8">
        <f t="shared" si="2"/>
        <v>79.395652173913</v>
      </c>
      <c r="G34" s="2"/>
      <c r="H34" s="2"/>
      <c r="I34" s="2"/>
    </row>
    <row r="35" spans="1:9">
      <c r="A35" s="3"/>
      <c r="B35" s="4" t="s">
        <v>17</v>
      </c>
      <c r="C35" s="8">
        <f t="shared" si="0"/>
        <v>77.3163265306122</v>
      </c>
      <c r="D35" s="8">
        <f t="shared" si="1"/>
        <v>71.0987804878049</v>
      </c>
      <c r="E35" s="8">
        <f t="shared" si="2"/>
        <v>76.3191304347826</v>
      </c>
      <c r="G35" s="2"/>
      <c r="H35" s="2"/>
      <c r="I35" s="2"/>
    </row>
    <row r="36" spans="1:9">
      <c r="A36" s="3"/>
      <c r="B36" s="4" t="s">
        <v>18</v>
      </c>
      <c r="C36" s="8">
        <f t="shared" si="0"/>
        <v>81.6991266375546</v>
      </c>
      <c r="D36" s="8">
        <f t="shared" si="1"/>
        <v>79.4297468354431</v>
      </c>
      <c r="E36" s="8">
        <f t="shared" si="2"/>
        <v>78.7636363636364</v>
      </c>
      <c r="G36" s="2"/>
      <c r="H36" s="2"/>
      <c r="I36" s="2"/>
    </row>
    <row r="37" spans="1:9">
      <c r="A37" s="3"/>
      <c r="B37" s="4" t="s">
        <v>19</v>
      </c>
      <c r="C37" s="8">
        <f t="shared" si="0"/>
        <v>70.7285714285714</v>
      </c>
      <c r="D37" s="8">
        <f t="shared" si="1"/>
        <v>73.8181818181818</v>
      </c>
      <c r="E37" s="8">
        <f t="shared" si="2"/>
        <v>67.95</v>
      </c>
      <c r="G37" s="2"/>
      <c r="H37" s="2"/>
      <c r="I37" s="2"/>
    </row>
    <row r="38" spans="1:9">
      <c r="A38" s="6" t="s">
        <v>6</v>
      </c>
      <c r="B38" s="4" t="s">
        <v>6</v>
      </c>
      <c r="C38" s="8">
        <f t="shared" si="0"/>
        <v>75.681220657277</v>
      </c>
      <c r="D38" s="8">
        <f t="shared" si="1"/>
        <v>74.4190476190476</v>
      </c>
      <c r="E38" s="8">
        <f t="shared" si="2"/>
        <v>70.9284482758621</v>
      </c>
      <c r="G38" s="2"/>
      <c r="H38" s="2"/>
      <c r="I38" s="2"/>
    </row>
    <row r="39" spans="1:9">
      <c r="A39" s="3" t="s">
        <v>7</v>
      </c>
      <c r="B39" s="4" t="s">
        <v>20</v>
      </c>
      <c r="C39" s="8">
        <f t="shared" si="0"/>
        <v>60.4784615384615</v>
      </c>
      <c r="D39" s="8">
        <f t="shared" si="1"/>
        <v>64.3172043010753</v>
      </c>
      <c r="E39" s="8">
        <f t="shared" si="2"/>
        <v>63.2066666666667</v>
      </c>
      <c r="G39" s="2"/>
      <c r="H39" s="2"/>
      <c r="I39" s="2"/>
    </row>
    <row r="40" spans="1:9">
      <c r="A40" s="3"/>
      <c r="B40" s="4" t="s">
        <v>22</v>
      </c>
      <c r="C40" s="8">
        <f t="shared" si="0"/>
        <v>80.7633744855968</v>
      </c>
      <c r="D40" s="8">
        <f t="shared" si="1"/>
        <v>81.1394308943089</v>
      </c>
      <c r="E40" s="8">
        <f t="shared" si="2"/>
        <v>75.7072072072072</v>
      </c>
      <c r="G40" s="2"/>
      <c r="H40" s="2"/>
      <c r="I40" s="2"/>
    </row>
    <row r="41" spans="1:9">
      <c r="A41" s="4"/>
      <c r="B41" s="4" t="s">
        <v>23</v>
      </c>
      <c r="C41" s="8">
        <f t="shared" si="0"/>
        <v>75.8025</v>
      </c>
      <c r="D41" s="8">
        <f t="shared" si="1"/>
        <v>71.8795454545455</v>
      </c>
      <c r="E41" s="8">
        <f t="shared" si="2"/>
        <v>72.6584415584415</v>
      </c>
      <c r="G41" s="2"/>
      <c r="H41" s="2"/>
      <c r="I41" s="2"/>
    </row>
    <row r="42" spans="7:9">
      <c r="G42" s="2"/>
      <c r="H42" s="2"/>
      <c r="I42" s="2"/>
    </row>
    <row r="43" spans="7:9">
      <c r="G43" s="2"/>
      <c r="H43" s="2"/>
      <c r="I43" s="2"/>
    </row>
    <row r="44" spans="1:9">
      <c r="A44" s="1" t="s">
        <v>0</v>
      </c>
      <c r="B44" s="1" t="s">
        <v>1</v>
      </c>
      <c r="C44" s="1" t="s">
        <v>2</v>
      </c>
      <c r="D44" s="1" t="s">
        <v>3</v>
      </c>
      <c r="G44" s="2"/>
      <c r="H44" s="2"/>
      <c r="I44" s="2"/>
    </row>
    <row r="45" spans="1:9">
      <c r="A45" s="4" t="s">
        <v>4</v>
      </c>
      <c r="B45" s="4">
        <f>B20*100</f>
        <v>70.4108217296883</v>
      </c>
      <c r="C45" s="4">
        <f>C20*100</f>
        <v>68.7062691960253</v>
      </c>
      <c r="D45" s="4">
        <f>D20*100</f>
        <v>66.5372299699207</v>
      </c>
      <c r="G45" s="2"/>
      <c r="H45" s="2"/>
      <c r="I45" s="2"/>
    </row>
    <row r="46" spans="1:9">
      <c r="A46" s="4" t="s">
        <v>5</v>
      </c>
      <c r="B46" s="4">
        <f>B21*100</f>
        <v>78.1144490529918</v>
      </c>
      <c r="C46" s="4">
        <f>C21*100</f>
        <v>77.1332204553793</v>
      </c>
      <c r="D46" s="4">
        <f>D21*100</f>
        <v>75.5379226004366</v>
      </c>
      <c r="G46" s="2"/>
      <c r="H46" s="2"/>
      <c r="I46" s="2"/>
    </row>
    <row r="47" spans="1:9">
      <c r="A47" s="4" t="s">
        <v>6</v>
      </c>
      <c r="B47" s="4">
        <f>B22*100</f>
        <v>75.681220657277</v>
      </c>
      <c r="C47" s="4">
        <f>C22*100</f>
        <v>74.4190476190476</v>
      </c>
      <c r="D47" s="4">
        <f>D22*100</f>
        <v>70.9284482758621</v>
      </c>
      <c r="G47" s="2"/>
      <c r="H47" s="2"/>
      <c r="I47" s="2"/>
    </row>
    <row r="48" spans="1:9">
      <c r="A48" s="4" t="s">
        <v>7</v>
      </c>
      <c r="B48" s="4">
        <f>B23*100</f>
        <v>72.3481120080194</v>
      </c>
      <c r="C48" s="4">
        <f>C23*100</f>
        <v>72.4453935499766</v>
      </c>
      <c r="D48" s="4">
        <f>D23*100</f>
        <v>70.5241051441051</v>
      </c>
      <c r="G48" s="2"/>
      <c r="H48" s="2"/>
      <c r="I48" s="2"/>
    </row>
    <row r="49" spans="1:9">
      <c r="A49" s="4" t="s">
        <v>8</v>
      </c>
      <c r="B49" s="4">
        <f>B24*100</f>
        <v>74.1386508619941</v>
      </c>
      <c r="C49" s="4">
        <f>C24*100</f>
        <v>73.1759827051072</v>
      </c>
      <c r="D49" s="4">
        <f>D24*100</f>
        <v>70.8819264975811</v>
      </c>
      <c r="G49" s="2"/>
      <c r="H49" s="2"/>
      <c r="I49" s="2"/>
    </row>
    <row r="50" spans="7:9">
      <c r="G50" s="2"/>
      <c r="H50" s="2"/>
      <c r="I50" s="2"/>
    </row>
    <row r="51" spans="7:9">
      <c r="G51" s="2"/>
      <c r="H51" s="2"/>
      <c r="I51" s="2"/>
    </row>
    <row r="52" spans="7:9">
      <c r="G52" s="2"/>
      <c r="H52" s="2"/>
      <c r="I52" s="2"/>
    </row>
    <row r="53" spans="7:9">
      <c r="G53" s="2"/>
      <c r="H53" s="2"/>
      <c r="I53" s="2"/>
    </row>
    <row r="54" spans="7:9">
      <c r="G54" s="2"/>
      <c r="H54" s="2"/>
      <c r="I54" s="2"/>
    </row>
    <row r="55" spans="7:9">
      <c r="G55" s="2"/>
      <c r="H55" s="2"/>
      <c r="I55" s="2"/>
    </row>
    <row r="56" spans="7:9">
      <c r="G56" s="2"/>
      <c r="H56" s="2"/>
      <c r="I56" s="2"/>
    </row>
    <row r="57" spans="7:9">
      <c r="G57" s="2"/>
      <c r="H57" s="2"/>
      <c r="I57" s="2"/>
    </row>
    <row r="58" spans="7:9">
      <c r="G58" s="2"/>
      <c r="H58" s="2"/>
      <c r="I58" s="2"/>
    </row>
    <row r="59" spans="7:9">
      <c r="G59" s="2"/>
      <c r="H59" s="2"/>
      <c r="I59" s="2"/>
    </row>
    <row r="60" spans="7:9">
      <c r="G60" s="2"/>
      <c r="H60" s="2"/>
      <c r="I60" s="2"/>
    </row>
    <row r="61" spans="7:9">
      <c r="G61" s="2"/>
      <c r="H61" s="2"/>
      <c r="I61" s="2"/>
    </row>
    <row r="62" spans="7:9">
      <c r="G62" s="2"/>
      <c r="H62" s="2"/>
      <c r="I62" s="2"/>
    </row>
    <row r="63" spans="7:9">
      <c r="G63" s="2"/>
      <c r="H63" s="2"/>
      <c r="I63" s="2"/>
    </row>
    <row r="64" spans="7:9">
      <c r="G64" s="2"/>
      <c r="H64" s="2"/>
      <c r="I64" s="2"/>
    </row>
    <row r="65" spans="7:9">
      <c r="G65" s="2"/>
      <c r="H65" s="2"/>
      <c r="I65" s="2"/>
    </row>
    <row r="66" spans="7:9">
      <c r="G66" s="2"/>
      <c r="H66" s="2"/>
      <c r="I66" s="2"/>
    </row>
    <row r="67" spans="7:9">
      <c r="G67" s="2"/>
      <c r="H67" s="2"/>
      <c r="I67" s="2"/>
    </row>
    <row r="68" spans="7:9">
      <c r="G68" s="2"/>
      <c r="H68" s="2"/>
      <c r="I68" s="2"/>
    </row>
    <row r="69" spans="7:9">
      <c r="G69" s="2"/>
      <c r="H69" s="2"/>
      <c r="I69" s="2"/>
    </row>
    <row r="70" spans="7:9">
      <c r="G70" s="2"/>
      <c r="H70" s="2"/>
      <c r="I70" s="2"/>
    </row>
    <row r="71" spans="7:9">
      <c r="G71" s="2"/>
      <c r="H71" s="2"/>
      <c r="I71" s="2"/>
    </row>
    <row r="72" spans="7:9">
      <c r="G72" s="2"/>
      <c r="H72" s="2"/>
      <c r="I72" s="2"/>
    </row>
    <row r="73" spans="7:9">
      <c r="G73" s="2"/>
      <c r="H73" s="2"/>
      <c r="I73" s="2"/>
    </row>
    <row r="74" spans="7:9">
      <c r="G74" s="2"/>
      <c r="H74" s="2"/>
      <c r="I74" s="2"/>
    </row>
    <row r="75" spans="7:9">
      <c r="G75" s="2"/>
      <c r="H75" s="2"/>
      <c r="I75" s="2"/>
    </row>
    <row r="76" spans="7:9">
      <c r="G76" s="2"/>
      <c r="H76" s="2"/>
      <c r="I76" s="2"/>
    </row>
    <row r="77" spans="7:9">
      <c r="G77" s="2"/>
      <c r="H77" s="2"/>
      <c r="I77" s="2"/>
    </row>
    <row r="78" spans="7:9">
      <c r="G78" s="2"/>
      <c r="H78" s="2"/>
      <c r="I78" s="2"/>
    </row>
    <row r="79" spans="7:9">
      <c r="G79" s="2"/>
      <c r="H79" s="2"/>
      <c r="I79" s="2"/>
    </row>
    <row r="80" spans="7:9">
      <c r="G80" s="2"/>
      <c r="H80" s="2"/>
      <c r="I80" s="2"/>
    </row>
    <row r="81" spans="7:9">
      <c r="G81" s="2"/>
      <c r="H81" s="2"/>
      <c r="I81" s="2"/>
    </row>
    <row r="82" spans="7:9">
      <c r="G82" s="2"/>
      <c r="H82" s="2"/>
      <c r="I82" s="2"/>
    </row>
    <row r="83" spans="7:9">
      <c r="G83" s="2"/>
      <c r="H83" s="2"/>
      <c r="I83" s="2"/>
    </row>
    <row r="84" spans="7:9">
      <c r="G84" s="2"/>
      <c r="H84" s="2"/>
      <c r="I84" s="2"/>
    </row>
    <row r="85" spans="7:9">
      <c r="G85" s="2"/>
      <c r="H85" s="2"/>
      <c r="I85" s="2"/>
    </row>
    <row r="86" spans="7:9">
      <c r="G86" s="2"/>
      <c r="H86" s="2"/>
      <c r="I86" s="2"/>
    </row>
    <row r="87" spans="7:9">
      <c r="G87" s="2"/>
      <c r="H87" s="2"/>
      <c r="I87" s="2"/>
    </row>
    <row r="88" spans="7:9">
      <c r="G88" s="2"/>
      <c r="H88" s="2"/>
      <c r="I88" s="2"/>
    </row>
    <row r="89" spans="7:9">
      <c r="G89" s="2"/>
      <c r="H89" s="2"/>
      <c r="I89" s="2"/>
    </row>
    <row r="90" spans="7:9">
      <c r="G90" s="2"/>
      <c r="H90" s="2"/>
      <c r="I90" s="2"/>
    </row>
    <row r="91" spans="7:9">
      <c r="G91" s="2"/>
      <c r="H91" s="2"/>
      <c r="I91" s="2"/>
    </row>
    <row r="92" spans="7:9">
      <c r="G92" s="2"/>
      <c r="H92" s="2"/>
      <c r="I92" s="2"/>
    </row>
    <row r="93" spans="7:9">
      <c r="G93" s="2"/>
      <c r="H93" s="2"/>
      <c r="I93" s="2"/>
    </row>
    <row r="94" spans="7:9">
      <c r="G94" s="2"/>
      <c r="H94" s="2"/>
      <c r="I94" s="2"/>
    </row>
    <row r="95" spans="7:9">
      <c r="G95" s="2"/>
      <c r="H95" s="2"/>
      <c r="I95" s="2"/>
    </row>
    <row r="96" spans="7:9">
      <c r="G96" s="2"/>
      <c r="H96" s="2"/>
      <c r="I96" s="2"/>
    </row>
    <row r="97" spans="7:9">
      <c r="G97" s="2"/>
      <c r="H97" s="2"/>
      <c r="I97" s="2"/>
    </row>
    <row r="98" spans="7:9">
      <c r="G98" s="2"/>
      <c r="H98" s="2"/>
      <c r="I98" s="2"/>
    </row>
    <row r="99" spans="7:9">
      <c r="G99" s="2"/>
      <c r="H99" s="2"/>
      <c r="I99" s="2"/>
    </row>
    <row r="100" spans="7:9">
      <c r="G100" s="2"/>
      <c r="H100" s="2"/>
      <c r="I100" s="2"/>
    </row>
    <row r="101" spans="7:9">
      <c r="G101" s="2"/>
      <c r="H101" s="2"/>
      <c r="I101" s="2"/>
    </row>
    <row r="102" spans="7:9">
      <c r="G102" s="2"/>
      <c r="H102" s="2"/>
      <c r="I102" s="2"/>
    </row>
    <row r="103" spans="7:9">
      <c r="G103" s="2"/>
      <c r="H103" s="2"/>
      <c r="I103" s="2"/>
    </row>
    <row r="104" spans="7:9">
      <c r="G104" s="2"/>
      <c r="H104" s="2"/>
      <c r="I104" s="2"/>
    </row>
    <row r="105" spans="7:9">
      <c r="G105" s="2"/>
      <c r="H105" s="2"/>
      <c r="I105" s="2"/>
    </row>
    <row r="106" spans="7:9">
      <c r="G106" s="2"/>
      <c r="H106" s="2"/>
      <c r="I106" s="2"/>
    </row>
    <row r="107" spans="7:9">
      <c r="G107" s="2"/>
      <c r="H107" s="2"/>
      <c r="I107" s="2"/>
    </row>
    <row r="108" spans="7:9">
      <c r="G108" s="2"/>
      <c r="H108" s="2"/>
      <c r="I108" s="2"/>
    </row>
    <row r="109" spans="7:9">
      <c r="G109" s="2"/>
      <c r="H109" s="2"/>
      <c r="I109" s="2"/>
    </row>
    <row r="110" spans="7:9">
      <c r="G110" s="2"/>
      <c r="H110" s="2"/>
      <c r="I110" s="2"/>
    </row>
    <row r="111" spans="7:9">
      <c r="G111" s="2"/>
      <c r="H111" s="2"/>
      <c r="I111" s="2"/>
    </row>
    <row r="112" spans="7:8">
      <c r="G112" s="2"/>
      <c r="H112" s="2"/>
    </row>
    <row r="113" spans="7:8">
      <c r="G113" s="2"/>
      <c r="H113" s="2"/>
    </row>
    <row r="114" spans="7:8">
      <c r="G114" s="2"/>
      <c r="H114" s="2"/>
    </row>
    <row r="115" spans="7:8">
      <c r="G115" s="2"/>
      <c r="H115" s="2"/>
    </row>
    <row r="116" spans="7:8">
      <c r="G116" s="2"/>
      <c r="H116" s="2"/>
    </row>
    <row r="117" spans="7:8">
      <c r="G117" s="2"/>
      <c r="H117" s="2"/>
    </row>
    <row r="118" spans="7:8">
      <c r="G118" s="2"/>
      <c r="H118" s="2"/>
    </row>
    <row r="119" spans="7:8">
      <c r="G119" s="2"/>
      <c r="H119" s="2"/>
    </row>
    <row r="120" spans="7:8">
      <c r="G120" s="2"/>
      <c r="H120" s="2"/>
    </row>
    <row r="121" spans="7:8">
      <c r="G121" s="2"/>
      <c r="H121" s="2"/>
    </row>
    <row r="122" spans="7:8">
      <c r="G122" s="2"/>
      <c r="H122" s="2"/>
    </row>
    <row r="123" spans="7:8">
      <c r="G123" s="2"/>
      <c r="H123" s="2"/>
    </row>
    <row r="124" spans="7:8">
      <c r="G124" s="2"/>
      <c r="H124" s="2"/>
    </row>
    <row r="125" spans="7:8">
      <c r="G125" s="2"/>
      <c r="H125" s="2"/>
    </row>
    <row r="126" spans="7:8">
      <c r="G126" s="2"/>
      <c r="H126" s="2"/>
    </row>
    <row r="127" spans="7:8">
      <c r="G127" s="2"/>
      <c r="H127" s="2"/>
    </row>
    <row r="128" spans="7:8">
      <c r="G128" s="2"/>
      <c r="H128" s="2"/>
    </row>
    <row r="129" spans="7:8">
      <c r="G129" s="2"/>
      <c r="H129" s="2"/>
    </row>
    <row r="130" spans="7:8">
      <c r="G130" s="2"/>
      <c r="H130" s="2"/>
    </row>
    <row r="131" spans="7:8">
      <c r="G131" s="2"/>
      <c r="H131" s="2"/>
    </row>
    <row r="132" spans="7:8">
      <c r="G132" s="2"/>
      <c r="H132" s="2"/>
    </row>
    <row r="133" spans="7:8">
      <c r="G133" s="2"/>
      <c r="H133" s="2"/>
    </row>
    <row r="134" spans="7:8">
      <c r="G134" s="2"/>
      <c r="H134" s="2"/>
    </row>
    <row r="135" spans="7:8">
      <c r="G135" s="2"/>
      <c r="H135" s="2"/>
    </row>
    <row r="136" spans="7:8">
      <c r="G136" s="2"/>
      <c r="H136" s="2"/>
    </row>
    <row r="137" spans="7:8">
      <c r="G137" s="2"/>
      <c r="H137" s="2"/>
    </row>
    <row r="138" spans="7:8">
      <c r="G138" s="2"/>
      <c r="H138" s="2"/>
    </row>
    <row r="139" spans="7:8">
      <c r="G139" s="2"/>
      <c r="H139" s="2"/>
    </row>
    <row r="140" spans="7:8">
      <c r="G140" s="2"/>
      <c r="H140" s="2"/>
    </row>
    <row r="141" spans="7:8">
      <c r="G141" s="2"/>
      <c r="H141" s="2"/>
    </row>
    <row r="142" spans="7:8">
      <c r="G142" s="2"/>
      <c r="H142" s="2"/>
    </row>
    <row r="143" spans="7:8">
      <c r="G143" s="2"/>
      <c r="H143" s="2"/>
    </row>
    <row r="144" spans="7:8">
      <c r="G144" s="2"/>
      <c r="H144" s="2"/>
    </row>
    <row r="145" spans="7:8">
      <c r="G145" s="2"/>
      <c r="H145" s="2"/>
    </row>
    <row r="146" spans="7:8">
      <c r="G146" s="2"/>
      <c r="H146" s="2"/>
    </row>
    <row r="147" spans="7:8">
      <c r="G147" s="2"/>
      <c r="H147" s="2"/>
    </row>
    <row r="148" spans="7:8">
      <c r="G148" s="2"/>
      <c r="H148" s="2"/>
    </row>
    <row r="149" spans="7:8">
      <c r="G149" s="2"/>
      <c r="H149" s="2"/>
    </row>
    <row r="150" spans="7:8">
      <c r="G150" s="2"/>
      <c r="H150" s="2"/>
    </row>
    <row r="151" spans="7:8">
      <c r="G151" s="2"/>
      <c r="H151" s="2"/>
    </row>
    <row r="152" spans="7:8">
      <c r="G152" s="2"/>
      <c r="H152" s="2"/>
    </row>
    <row r="153" spans="7:8">
      <c r="G153" s="2"/>
      <c r="H153" s="2"/>
    </row>
    <row r="154" spans="7:8">
      <c r="G154" s="2"/>
      <c r="H154" s="2"/>
    </row>
    <row r="155" spans="7:8">
      <c r="G155" s="2"/>
      <c r="H155" s="2"/>
    </row>
    <row r="156" spans="7:8">
      <c r="G156" s="2"/>
      <c r="H156" s="2"/>
    </row>
    <row r="157" spans="7:8">
      <c r="G157" s="2"/>
      <c r="H157" s="2"/>
    </row>
    <row r="158" spans="7:8">
      <c r="G158" s="2"/>
      <c r="H158" s="2"/>
    </row>
    <row r="159" spans="7:8">
      <c r="G159" s="2"/>
      <c r="H159" s="2"/>
    </row>
    <row r="160" spans="7:8">
      <c r="G160" s="2"/>
      <c r="H160" s="2"/>
    </row>
    <row r="161" spans="7:8">
      <c r="G161" s="2"/>
      <c r="H161" s="2"/>
    </row>
    <row r="162" spans="7:8">
      <c r="G162" s="2"/>
      <c r="H162" s="2"/>
    </row>
    <row r="163" spans="7:8">
      <c r="G163" s="2"/>
      <c r="H163" s="2"/>
    </row>
    <row r="164" spans="7:8">
      <c r="G164" s="2"/>
      <c r="H164" s="2"/>
    </row>
    <row r="165" spans="7:8">
      <c r="G165" s="2"/>
      <c r="H165" s="2"/>
    </row>
    <row r="166" spans="7:8">
      <c r="G166" s="2"/>
      <c r="H166" s="2"/>
    </row>
    <row r="167" spans="7:8">
      <c r="G167" s="2"/>
      <c r="H167" s="2"/>
    </row>
    <row r="168" spans="7:8">
      <c r="G168" s="2"/>
      <c r="H168" s="2"/>
    </row>
    <row r="169" spans="7:7">
      <c r="G169" s="2"/>
    </row>
    <row r="170" spans="7:7">
      <c r="G170" s="2"/>
    </row>
    <row r="171" spans="7:7">
      <c r="G171" s="2"/>
    </row>
    <row r="172" spans="7:7">
      <c r="G172" s="2"/>
    </row>
    <row r="173" spans="7:7">
      <c r="G173" s="2"/>
    </row>
    <row r="174" spans="7:7">
      <c r="G174" s="2"/>
    </row>
    <row r="175" spans="7:7">
      <c r="G175" s="2"/>
    </row>
    <row r="176" spans="7:7">
      <c r="G176" s="2"/>
    </row>
    <row r="177" spans="7:7">
      <c r="G177" s="2"/>
    </row>
    <row r="178" spans="7:7">
      <c r="G178" s="2"/>
    </row>
    <row r="179" spans="7:7">
      <c r="G179" s="2"/>
    </row>
    <row r="180" spans="7:7">
      <c r="G180" s="2"/>
    </row>
    <row r="181" spans="7:7">
      <c r="G181" s="2"/>
    </row>
    <row r="182" spans="7:7">
      <c r="G182" s="2"/>
    </row>
    <row r="183" spans="7:7">
      <c r="G183" s="2"/>
    </row>
    <row r="184" spans="7:7">
      <c r="G184" s="2"/>
    </row>
    <row r="185" spans="7:7">
      <c r="G185" s="2"/>
    </row>
    <row r="186" spans="7:7">
      <c r="G186" s="2"/>
    </row>
    <row r="187" spans="7:7">
      <c r="G187" s="2"/>
    </row>
    <row r="188" spans="7:7">
      <c r="G188" s="2"/>
    </row>
    <row r="189" spans="7:7">
      <c r="G189" s="2"/>
    </row>
    <row r="190" spans="7:7">
      <c r="G190" s="2"/>
    </row>
    <row r="191" spans="7:7">
      <c r="G191" s="2"/>
    </row>
    <row r="192" spans="7:7">
      <c r="G192" s="2"/>
    </row>
    <row r="193" spans="7:7">
      <c r="G193" s="2"/>
    </row>
    <row r="194" spans="7:7">
      <c r="G194" s="2"/>
    </row>
    <row r="195" spans="7:7">
      <c r="G195" s="2"/>
    </row>
    <row r="196" spans="7:7">
      <c r="G196" s="2"/>
    </row>
    <row r="197" spans="7:7">
      <c r="G197" s="2"/>
    </row>
    <row r="198" spans="7:7">
      <c r="G198" s="2"/>
    </row>
    <row r="199" spans="7:7">
      <c r="G199" s="2"/>
    </row>
    <row r="200" spans="7:7">
      <c r="G200" s="2"/>
    </row>
    <row r="201" spans="7:7">
      <c r="G201" s="2"/>
    </row>
    <row r="202" spans="7:7">
      <c r="G202" s="2"/>
    </row>
    <row r="203" spans="7:7">
      <c r="G203" s="2"/>
    </row>
    <row r="204" spans="7:7">
      <c r="G204" s="2"/>
    </row>
    <row r="205" spans="7:7">
      <c r="G205" s="2"/>
    </row>
    <row r="206" spans="7:7">
      <c r="G206" s="2"/>
    </row>
    <row r="207" spans="7:7">
      <c r="G207" s="2"/>
    </row>
    <row r="208" spans="7:7">
      <c r="G208" s="2"/>
    </row>
    <row r="209" spans="7:7">
      <c r="G209" s="2"/>
    </row>
    <row r="210" spans="7:7">
      <c r="G210" s="2"/>
    </row>
    <row r="211" spans="7:7">
      <c r="G211" s="2"/>
    </row>
    <row r="212" spans="7:7">
      <c r="G212" s="2"/>
    </row>
    <row r="213" spans="7:7">
      <c r="G213" s="2"/>
    </row>
    <row r="214" spans="7:7">
      <c r="G214" s="2"/>
    </row>
    <row r="215" spans="7:7">
      <c r="G215" s="2"/>
    </row>
    <row r="216" spans="7:7">
      <c r="G216" s="2"/>
    </row>
    <row r="217" spans="7:7">
      <c r="G217" s="2"/>
    </row>
    <row r="218" spans="7:7">
      <c r="G218" s="2"/>
    </row>
    <row r="219" spans="7:7">
      <c r="G219" s="2"/>
    </row>
    <row r="220" spans="7:7">
      <c r="G220" s="2"/>
    </row>
    <row r="221" spans="7:7">
      <c r="G221" s="2"/>
    </row>
    <row r="222" spans="7:7">
      <c r="G222" s="2"/>
    </row>
    <row r="223" spans="7:7">
      <c r="G223" s="2"/>
    </row>
    <row r="224" spans="7:7">
      <c r="G224" s="2"/>
    </row>
    <row r="225" spans="7:7">
      <c r="G225" s="2"/>
    </row>
    <row r="226" spans="7:7">
      <c r="G226" s="2"/>
    </row>
    <row r="227" spans="7:7">
      <c r="G227" s="2"/>
    </row>
    <row r="228" spans="7:7">
      <c r="G228" s="2"/>
    </row>
    <row r="229" spans="7:7">
      <c r="G229" s="2"/>
    </row>
    <row r="230" spans="7:7">
      <c r="G230" s="2"/>
    </row>
    <row r="231" spans="7:7">
      <c r="G231" s="2"/>
    </row>
    <row r="232" spans="7:7">
      <c r="G232" s="2"/>
    </row>
    <row r="233" spans="7:7">
      <c r="G233" s="2"/>
    </row>
    <row r="234" spans="7:7">
      <c r="G234" s="2"/>
    </row>
    <row r="235" spans="7:7">
      <c r="G235" s="2"/>
    </row>
    <row r="236" spans="7:7">
      <c r="G236" s="2"/>
    </row>
    <row r="237" spans="7:7">
      <c r="G237" s="2"/>
    </row>
    <row r="238" spans="7:7">
      <c r="G238" s="2"/>
    </row>
    <row r="239" spans="7:7">
      <c r="G239" s="2"/>
    </row>
    <row r="240" spans="7:7">
      <c r="G240" s="2"/>
    </row>
    <row r="241" spans="7:7">
      <c r="G241" s="2"/>
    </row>
    <row r="242" spans="7:7">
      <c r="G242" s="2"/>
    </row>
    <row r="243" spans="7:7">
      <c r="G243" s="2"/>
    </row>
    <row r="244" spans="7:7">
      <c r="G244" s="2"/>
    </row>
    <row r="245" spans="7:7">
      <c r="G245" s="2"/>
    </row>
    <row r="246" spans="7:7">
      <c r="G246" s="2"/>
    </row>
    <row r="247" spans="7:7">
      <c r="G247" s="2"/>
    </row>
    <row r="248" spans="7:7">
      <c r="G248" s="2"/>
    </row>
    <row r="249" spans="7:7">
      <c r="G249" s="2"/>
    </row>
    <row r="250" spans="7:7">
      <c r="G250" s="2"/>
    </row>
    <row r="251" spans="7:7">
      <c r="G251" s="2"/>
    </row>
    <row r="252" spans="7:7">
      <c r="G252" s="2"/>
    </row>
    <row r="253" spans="7:7">
      <c r="G253" s="2"/>
    </row>
    <row r="254" spans="7:7">
      <c r="G254" s="2"/>
    </row>
    <row r="255" spans="7:7">
      <c r="G255" s="2"/>
    </row>
    <row r="256" spans="7:7">
      <c r="G256" s="2"/>
    </row>
    <row r="257" spans="7:7">
      <c r="G257" s="2"/>
    </row>
    <row r="258" spans="7:7">
      <c r="G258" s="2"/>
    </row>
    <row r="259" spans="7:7">
      <c r="G259" s="2"/>
    </row>
  </sheetData>
  <mergeCells count="6">
    <mergeCell ref="A2:A4"/>
    <mergeCell ref="A5:A9"/>
    <mergeCell ref="A11:A13"/>
    <mergeCell ref="A30:A32"/>
    <mergeCell ref="A33:A37"/>
    <mergeCell ref="A39:A4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大类</vt:lpstr>
      <vt:lpstr>小类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神·大头</cp:lastModifiedBy>
  <dcterms:created xsi:type="dcterms:W3CDTF">2025-04-27T14:44:00Z</dcterms:created>
  <dcterms:modified xsi:type="dcterms:W3CDTF">2025-04-28T03:56:52Z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D09802319F5B489CA398BD78F4A36256_11</vt:lpwstr>
  </property>
  <property fmtid="{D5CDD505-2E9C-101B-9397-08002B2CF9AE}" pid="3" name="KSOProductBuildVer">
    <vt:lpwstr>2052-12.1.0.20784</vt:lpwstr>
  </property>
</Properties>
</file>